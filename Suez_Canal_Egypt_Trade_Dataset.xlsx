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145" windowHeight="9480" tabRatio="500" firstSheet="3" activeTab="3"/>
  </bookViews>
  <sheets>
    <sheet name="Dashboard" sheetId="16" r:id="rId1"/>
    <sheet name="Suez Canal Dashboard" sheetId="8" r:id="rId2"/>
    <sheet name="Summary" sheetId="17" r:id="rId3"/>
    <sheet name="Analysis" sheetId="15" r:id="rId4"/>
    <sheet name="Trade Pivot" sheetId="13" r:id="rId5"/>
    <sheet name="README" sheetId="1" r:id="rId6"/>
    <sheet name="Suez_Canal" sheetId="2" r:id="rId7"/>
    <sheet name="Foreign_Trade" sheetId="3" r:id="rId8"/>
    <sheet name="Macro_Indicators" sheetId="4" r:id="rId9"/>
    <sheet name="Events" sheetId="5" r:id="rId10"/>
  </sheets>
  <externalReferences>
    <externalReference r:id="rId12"/>
  </externalReferenc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<sst xmlns="http://schemas.openxmlformats.org/spreadsheetml/2006/main" count="613" uniqueCount="202">
  <si>
    <t>Suez Canal &amp; Egypt Trade — Economic Dashboard 2015–2024</t>
  </si>
  <si>
    <t>Peak Canal Revenue</t>
  </si>
  <si>
    <t>Revenue Drop</t>
  </si>
  <si>
    <t>Peak Inflation</t>
  </si>
  <si>
    <t>Reserves 2024</t>
  </si>
  <si>
    <t xml:space="preserve">Export Change After Floatation
</t>
  </si>
  <si>
    <t>$10.6B</t>
  </si>
  <si>
    <t>$50.3B</t>
  </si>
  <si>
    <t>2023 — Before Red Sea Crisis</t>
  </si>
  <si>
    <t>2024 vs 2023</t>
  </si>
  <si>
    <t>Highest Historical Level</t>
  </si>
  <si>
    <t>]</t>
  </si>
  <si>
    <t>Suez Canal Revenue Analysis Dashboard</t>
  </si>
  <si>
    <t>Revenue Change</t>
  </si>
  <si>
    <t>2020 vs 2019</t>
  </si>
  <si>
    <t>Key Events Affecting Canal &amp; Trade</t>
  </si>
  <si>
    <t>Date</t>
  </si>
  <si>
    <t>Event</t>
  </si>
  <si>
    <t>Category</t>
  </si>
  <si>
    <t>Impact</t>
  </si>
  <si>
    <t>First Major EGP Floatation</t>
  </si>
  <si>
    <t>FX / Macro</t>
  </si>
  <si>
    <t>Sharp increase in exchange rate</t>
  </si>
  <si>
    <t>Ever Given Blockage</t>
  </si>
  <si>
    <t>Canal Disruption</t>
  </si>
  <si>
    <t>Temporary canal shutdown</t>
  </si>
  <si>
    <t>Red Sea Crisis Begins</t>
  </si>
  <si>
    <t>Geopolitical</t>
  </si>
  <si>
    <t>Significant decline in canal traffic</t>
  </si>
  <si>
    <t>Major EGP Devaluation</t>
  </si>
  <si>
    <t>Exchange rate jumped to ~50 EGP/USD</t>
  </si>
  <si>
    <t>Summary Statistics</t>
  </si>
  <si>
    <t>Metric</t>
  </si>
  <si>
    <t>Value</t>
  </si>
  <si>
    <t>Period</t>
  </si>
  <si>
    <t>Total Canal Revenue</t>
  </si>
  <si>
    <t>$60.802 B</t>
  </si>
  <si>
    <t>2015–2024</t>
  </si>
  <si>
    <t>Average Ships/Month</t>
  </si>
  <si>
    <t>Total Trade Deficit</t>
  </si>
  <si>
    <t>$-408.6 B</t>
  </si>
  <si>
    <t>EGP Depreciation</t>
  </si>
  <si>
    <t>2015→2024</t>
  </si>
  <si>
    <t>Revenue
(USD M)</t>
  </si>
  <si>
    <t>Exports
(USD M)</t>
  </si>
  <si>
    <t>Imports
(USD M)</t>
  </si>
  <si>
    <t>USD/EGP
Exchange Rate</t>
  </si>
  <si>
    <t>CPI Inflation
YoY (%)</t>
  </si>
  <si>
    <t>Foreign Reserves
(USD Billion)</t>
  </si>
  <si>
    <t>Year</t>
  </si>
  <si>
    <t>REVENUE</t>
  </si>
  <si>
    <t>EXPORT</t>
  </si>
  <si>
    <t>EMPORT</t>
  </si>
  <si>
    <t>EXCHANGE</t>
  </si>
  <si>
    <t>Row Labels</t>
  </si>
  <si>
    <t>Sum of Exports
(USD M)</t>
  </si>
  <si>
    <t>Sum of Imports
(USD M)</t>
  </si>
  <si>
    <t>Sum of Trade Balance
(USD M)</t>
  </si>
  <si>
    <t xml:space="preserve">Sum of Trade Coverage 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</si>
  <si>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</si>
  <si>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</si>
  <si>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</si>
  <si>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</si>
  <si>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</si>
  <si>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</si>
  <si>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</si>
  <si>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</si>
  <si>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</si>
  <si>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</si>
  <si>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PROJECT</t>
  </si>
  <si>
    <t>Suez Canal &amp; Egypt Trade – Economic Dashboard Dataset</t>
  </si>
  <si>
    <t>Author</t>
  </si>
  <si>
    <t>Mohamed Fareed Moustafa Asal</t>
  </si>
  <si>
    <t>January 2015 – December 2024  (120 monthly observations)</t>
  </si>
  <si>
    <t>SHEET</t>
  </si>
  <si>
    <t>DESCRIPTION</t>
  </si>
  <si>
    <t>PRIMARY SOURCE</t>
  </si>
  <si>
    <t>Suez_Canal</t>
  </si>
  <si>
    <t>Monthly Suez Canal traffic &amp; revenue</t>
  </si>
  <si>
    <t>SCA / CBE Monthly Bulletin</t>
  </si>
  <si>
    <t>Foreign_Trade</t>
  </si>
  <si>
    <t>Monthly Egypt exports, imports &amp; trade balance</t>
  </si>
  <si>
    <t>CAPMAS Foreign Trade Bulletin</t>
  </si>
  <si>
    <t>Macro_Indicators</t>
  </si>
  <si>
    <t>Monthly macro: FX, CPI, reserves, oil price</t>
  </si>
  <si>
    <t>CBE / CAPMAS / EIA</t>
  </si>
  <si>
    <t>Events</t>
  </si>
  <si>
    <t>Key events affecting trade (qualitative)</t>
  </si>
  <si>
    <t>Manual / news</t>
  </si>
  <si>
    <t>VARIABLE DICTIONARY</t>
  </si>
  <si>
    <t>Month-year in YYYY-MM format</t>
  </si>
  <si>
    <t>Revenue_USD_M</t>
  </si>
  <si>
    <t>Suez Canal monthly revenue (USD million)</t>
  </si>
  <si>
    <t>SCA press releases</t>
  </si>
  <si>
    <t>Ships</t>
  </si>
  <si>
    <t>Number of vessels transiting the canal</t>
  </si>
  <si>
    <t>SCA annual reports</t>
  </si>
  <si>
    <t>Net_Tonnage_M</t>
  </si>
  <si>
    <t>Net tonnage of transiting vessels (million tons)</t>
  </si>
  <si>
    <t>Avg_Revenue_Per_Ship</t>
  </si>
  <si>
    <t>Revenue_USD_M / Ships  (calculated in Excel)</t>
  </si>
  <si>
    <t>Derived</t>
  </si>
  <si>
    <t>Exports_USD_M</t>
  </si>
  <si>
    <t>Egypt goods exports FOB (USD million)</t>
  </si>
  <si>
    <t>CAPMAS</t>
  </si>
  <si>
    <t>Imports_USD_M</t>
  </si>
  <si>
    <t>Egypt goods imports CIF (USD million)</t>
  </si>
  <si>
    <t>Trade_Balance_USD_M</t>
  </si>
  <si>
    <t>Exports minus Imports  (negative = deficit)</t>
  </si>
  <si>
    <t>Trade_Coverage_Ratio</t>
  </si>
  <si>
    <t>Exports/Imports x 100  (%)</t>
  </si>
  <si>
    <t>USD_EGP</t>
  </si>
  <si>
    <t>Average monthly USD/EGP exchange rate</t>
  </si>
  <si>
    <t>CBE</t>
  </si>
  <si>
    <t>CPI_Inflation_YoY</t>
  </si>
  <si>
    <t>Urban CPI annual % change (CAPMAS)</t>
  </si>
  <si>
    <t>Foreign_Reserves_USD_B</t>
  </si>
  <si>
    <t>Net international reserves end-of-month (USD billion)</t>
  </si>
  <si>
    <t>Oil_Brent_USD</t>
  </si>
  <si>
    <t>Brent crude monthly average price (USD/barrel)</t>
  </si>
  <si>
    <t>EIA / World Bank</t>
  </si>
  <si>
    <t>NOTE</t>
  </si>
  <si>
    <t>Data marked with * in the sheets are estimated/interpolated from annual totals or adjacent months.</t>
  </si>
  <si>
    <t>GITHUB README</t>
  </si>
  <si>
    <t>Paste this sheet content into your repository README.md</t>
  </si>
  <si>
    <t xml:space="preserve">🚢  SUEZ CANAL –  Traffic &amp; Revenue </t>
  </si>
  <si>
    <t>Ships
(count)</t>
  </si>
  <si>
    <t>Net Tonnage
(M tons)</t>
  </si>
  <si>
    <t>Avg Revenue
Per Ship (USD)</t>
  </si>
  <si>
    <t>Data
Quality</t>
  </si>
  <si>
    <t>Revenue_12M_MA</t>
  </si>
  <si>
    <t>Estimated*</t>
  </si>
  <si>
    <t>Actual</t>
  </si>
  <si>
    <t>avg</t>
  </si>
  <si>
    <t>max</t>
  </si>
  <si>
    <t>min</t>
  </si>
  <si>
    <t xml:space="preserve">📦  EGYPT FOREIGN TRADE –  Exports &amp; Imports  </t>
  </si>
  <si>
    <t>Trade Balance
(USD M)</t>
  </si>
  <si>
    <t>Trade Coverage
Ratio (%)</t>
  </si>
  <si>
    <t>Before Floatation</t>
  </si>
  <si>
    <t>after Floatation</t>
  </si>
  <si>
    <t xml:space="preserve">📊  EGYPT MACRO INDICATORS </t>
  </si>
  <si>
    <t>Brent Oil
(USD/barrel)</t>
  </si>
  <si>
    <t>📅  KEY EVENTS AFFECTING SUEZ CANAL &amp; EGYPT TRADE  |  2015–2024</t>
  </si>
  <si>
    <t>Impact Category</t>
  </si>
  <si>
    <t>Expected Effect on Canal / Trade</t>
  </si>
  <si>
    <t>2015-08</t>
  </si>
  <si>
    <t>EGP first devaluation pressures / SNB shock</t>
  </si>
  <si>
    <t>Import cost pressure; reserves decline</t>
  </si>
  <si>
    <t>2016-08</t>
  </si>
  <si>
    <t>New Suez Canal expansion inaugurated</t>
  </si>
  <si>
    <t>Infrastructure</t>
  </si>
  <si>
    <t>Added parallel lane; increased vessel capacity</t>
  </si>
  <si>
    <t>2016-11</t>
  </si>
  <si>
    <t>EGP float – devaluation from 8.8 to 17.7</t>
  </si>
  <si>
    <t>Sharp import contraction; export competitiveness boost</t>
  </si>
  <si>
    <t>2017-01</t>
  </si>
  <si>
    <t>IMF $12B loan program begins</t>
  </si>
  <si>
    <t>Macro / FX</t>
  </si>
  <si>
    <t>Reserve recovery; fiscal consolidation</t>
  </si>
  <si>
    <t>2020-03</t>
  </si>
  <si>
    <t>COVID-19 pandemic – global lockdown</t>
  </si>
  <si>
    <t>Global Shock</t>
  </si>
  <si>
    <t>Trade collapse; oil price crash; canal traffic dip</t>
  </si>
  <si>
    <t>2020-04</t>
  </si>
  <si>
    <t>Brent oil drops below $20/barrel</t>
  </si>
  <si>
    <t>Commodity</t>
  </si>
  <si>
    <t>Reduced tanker traffic; lower SCA revenues</t>
  </si>
  <si>
    <t>2021-03</t>
  </si>
  <si>
    <t>MV Ever Given grounding (6 days)</t>
  </si>
  <si>
    <t>Temporary 6-day full blockage; ~$9.6B/day trade loss</t>
  </si>
  <si>
    <t>2022-02</t>
  </si>
  <si>
    <t>Russia–Ukraine war begins</t>
  </si>
  <si>
    <t>Global food/energy shock; wheat import surge for Egypt</t>
  </si>
  <si>
    <t>2022-03</t>
  </si>
  <si>
    <t>EGP 2nd devaluation: 17.5 → 18.2</t>
  </si>
  <si>
    <t>Import cost surge; inflation acceleration</t>
  </si>
  <si>
    <t>2022-06</t>
  </si>
  <si>
    <t>Brent crude peaks ~$122/barrel</t>
  </si>
  <si>
    <t>Tanker revenue boost; Egypt energy import costs rise</t>
  </si>
  <si>
    <t>2022-11</t>
  </si>
  <si>
    <t>EGP 3rd devaluation: 19.6 → 24.6</t>
  </si>
  <si>
    <t>Balance of payments pressure; IMF negotiations</t>
  </si>
  <si>
    <t>2023-01</t>
  </si>
  <si>
    <t>EGP 4th devaluation: 24.6 → 29.5+</t>
  </si>
  <si>
    <t>Ongoing currency crisis; CPI peaks above 35%</t>
  </si>
  <si>
    <t>2023-10</t>
  </si>
  <si>
    <t>Gaza war begins; Houthi attacks escalate</t>
  </si>
  <si>
    <t>Red Sea disruption begins; canal diversions start</t>
  </si>
  <si>
    <t>2023-12</t>
  </si>
  <si>
    <t>Major shipping lines reroute via Cape of Good Hope</t>
  </si>
  <si>
    <t>Canal traffic starts falling sharply</t>
  </si>
  <si>
    <t>2024-01</t>
  </si>
  <si>
    <t>Red Sea crisis peak – canal traffic −50%</t>
  </si>
  <si>
    <t>Revenue halved; Egypt FX pressure intensifies</t>
  </si>
  <si>
    <t>2024-03</t>
  </si>
  <si>
    <t>EGP 5th devaluation: 30.9 → 49.8 (IMF deal)</t>
  </si>
  <si>
    <t>Largest devaluation; reserves jump post-IMF inflows</t>
  </si>
  <si>
    <t>2024-10</t>
  </si>
  <si>
    <t>Reserves exceed $50B for first time</t>
  </si>
  <si>
    <t>Macro</t>
  </si>
  <si>
    <t>Confidence signal; partial canal traffic recovery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</si>
</sst>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"/>
    <numFmt numFmtId="179" formatCode="0.0"/>
    <numFmt numFmtId="180" formatCode="#,##0.0"/>
    <numFmt numFmtId="181" formatCode="#,##0.0\ &quot;M&quot;"/>
    <numFmt numFmtId="182" formatCode="#,##0.0;[Red]\-#,##0.0"/>
    <numFmt numFmtId="183" formatCode="0.0%"/>
    <numFmt numFmtId="184" formatCode="&quot;$&quot;#,##0"/>
    <numFmt numFmtId="185" formatCode="0.00_);[Red]\(0.00\)"/>
    <numFmt numFmtId="186" formatCode="&quot;$&quot;#,##0.00000"/>
  </numFmts>
  <fonts count="50">
    <font>
      <sz val="11"/>
      <color theme="1"/>
      <name val="Calibri"/>
      <charset val="1"/>
    </font>
    <font>
      <b/>
      <sz val="14"/>
      <name val="Arial"/>
      <charset val="134"/>
    </font>
    <font>
      <b/>
      <sz val="11"/>
      <color theme="0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i/>
      <sz val="9"/>
      <color rgb="FF595959"/>
      <name val="Arial"/>
      <charset val="134"/>
    </font>
    <font>
      <b/>
      <sz val="11"/>
      <color theme="1"/>
      <name val="Calibri"/>
      <charset val="1"/>
    </font>
    <font>
      <b/>
      <sz val="11"/>
      <color theme="1"/>
      <name val="Calibri"/>
      <charset val="134"/>
    </font>
    <font>
      <b/>
      <sz val="10"/>
      <color theme="0"/>
      <name val="Arial"/>
      <charset val="134"/>
    </font>
    <font>
      <b/>
      <sz val="14"/>
      <color rgb="FF1F3864"/>
      <name val="Arial"/>
      <charset val="134"/>
    </font>
    <font>
      <b/>
      <sz val="11"/>
      <color rgb="FF1F3864"/>
      <name val="Arial"/>
      <charset val="134"/>
    </font>
    <font>
      <b/>
      <sz val="11"/>
      <color rgb="FFFF0000"/>
      <name val="Arial"/>
      <charset val="134"/>
    </font>
    <font>
      <i/>
      <sz val="11"/>
      <color rgb="FFFF0000"/>
      <name val="Arial"/>
      <charset val="134"/>
    </font>
    <font>
      <sz val="11"/>
      <color rgb="FFFF0000"/>
      <name val="Calibri"/>
      <charset val="1"/>
    </font>
    <font>
      <sz val="10"/>
      <color theme="1"/>
      <name val="Arial Unicode MS"/>
      <charset val="134"/>
    </font>
    <font>
      <b/>
      <sz val="36"/>
      <color rgb="FFC9A84C"/>
      <name val="Calibri"/>
      <charset val="134"/>
    </font>
    <font>
      <b/>
      <sz val="18"/>
      <color rgb="FFC9A84C"/>
      <name val="Calibri"/>
      <charset val="1"/>
    </font>
    <font>
      <sz val="14"/>
      <color theme="1"/>
      <name val="Calibri"/>
      <charset val="1"/>
    </font>
    <font>
      <sz val="24"/>
      <color theme="1"/>
      <name val="Calibri"/>
      <charset val="134"/>
    </font>
    <font>
      <b/>
      <sz val="18"/>
      <name val="Calibri"/>
      <charset val="134"/>
    </font>
    <font>
      <sz val="18"/>
      <color rgb="FF1F3864"/>
      <name val="Calibri"/>
      <charset val="1"/>
    </font>
    <font>
      <b/>
      <sz val="18"/>
      <color rgb="FFC9A84C"/>
      <name val="Calibri"/>
      <charset val="134"/>
    </font>
    <font>
      <b/>
      <sz val="12"/>
      <name val="Calibri"/>
      <charset val="134"/>
    </font>
    <font>
      <b/>
      <sz val="12"/>
      <color theme="1"/>
      <name val="Calibri"/>
      <charset val="134"/>
    </font>
    <font>
      <sz val="11"/>
      <color rgb="FF1F3864"/>
      <name val="Calibri"/>
      <charset val="1"/>
    </font>
    <font>
      <b/>
      <sz val="22"/>
      <color rgb="FFC9A84C"/>
      <name val="Calibri"/>
      <charset val="134"/>
    </font>
    <font>
      <b/>
      <sz val="22"/>
      <color rgb="FFF09595"/>
      <name val="Calibri"/>
      <charset val="134"/>
    </font>
    <font>
      <b/>
      <sz val="22"/>
      <color rgb="FFFAC775"/>
      <name val="Calibri"/>
      <charset val="134"/>
    </font>
    <font>
      <b/>
      <sz val="22"/>
      <color rgb="FF5DCAA5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rgb="FFC9A84C"/>
        <bgColor rgb="FFCCFFFF"/>
      </patternFill>
    </fill>
    <fill>
      <patternFill patternType="solid">
        <fgColor rgb="FFC9A84C"/>
        <bgColor rgb="FFFFFFCC"/>
      </patternFill>
    </fill>
    <fill>
      <patternFill patternType="solid">
        <fgColor rgb="FFC9A84C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rgb="FFCCFFFF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D3E319"/>
        <bgColor indexed="64"/>
      </patternFill>
    </fill>
    <fill>
      <patternFill patternType="solid">
        <fgColor rgb="FFCE292F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theme="4" tint="0.399975585192419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ck">
        <color theme="1"/>
      </bottom>
      <diagonal/>
    </border>
    <border>
      <left style="thin">
        <color rgb="FFC9A84C"/>
      </left>
      <right/>
      <top style="thin">
        <color rgb="FFC9A84C"/>
      </top>
      <bottom/>
      <diagonal/>
    </border>
    <border>
      <left/>
      <right/>
      <top style="thin">
        <color rgb="FFC9A84C"/>
      </top>
      <bottom/>
      <diagonal/>
    </border>
    <border>
      <left/>
      <right style="thin">
        <color rgb="FFC9A84C"/>
      </right>
      <top style="thin">
        <color rgb="FFC9A84C"/>
      </top>
      <bottom/>
      <diagonal/>
    </border>
    <border>
      <left style="thin">
        <color rgb="FFC9A84C"/>
      </left>
      <right/>
      <top/>
      <bottom/>
      <diagonal/>
    </border>
    <border>
      <left/>
      <right style="thin">
        <color rgb="FFC9A84C"/>
      </right>
      <top/>
      <bottom/>
      <diagonal/>
    </border>
    <border>
      <left style="thin">
        <color rgb="FFC9A84C"/>
      </left>
      <right/>
      <top/>
      <bottom style="thin">
        <color rgb="FFC9A84C"/>
      </bottom>
      <diagonal/>
    </border>
    <border>
      <left/>
      <right/>
      <top/>
      <bottom style="thin">
        <color rgb="FFC9A84C"/>
      </bottom>
      <diagonal/>
    </border>
    <border>
      <left/>
      <right style="thin">
        <color rgb="FFC9A84C"/>
      </right>
      <top/>
      <bottom style="thin">
        <color rgb="FFC9A84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21" borderId="34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7" fillId="0" borderId="35" applyNumberFormat="0" applyFill="0" applyAlignment="0" applyProtection="0">
      <alignment vertical="center"/>
    </xf>
    <xf numFmtId="0" fontId="38" fillId="0" borderId="3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2" borderId="37" applyNumberFormat="0" applyAlignment="0" applyProtection="0">
      <alignment vertical="center"/>
    </xf>
    <xf numFmtId="0" fontId="40" fillId="20" borderId="38" applyNumberFormat="0" applyAlignment="0" applyProtection="0">
      <alignment vertical="center"/>
    </xf>
    <xf numFmtId="0" fontId="41" fillId="20" borderId="37" applyNumberFormat="0" applyAlignment="0" applyProtection="0">
      <alignment vertical="center"/>
    </xf>
    <xf numFmtId="0" fontId="42" fillId="23" borderId="39" applyNumberFormat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</cellStyleXfs>
  <cellXfs count="19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58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58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78" fontId="3" fillId="3" borderId="6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78" fontId="3" fillId="4" borderId="6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179" fontId="3" fillId="4" borderId="1" xfId="0" applyNumberFormat="1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4" fontId="0" fillId="5" borderId="1" xfId="0" applyNumberFormat="1" applyFill="1" applyBorder="1"/>
    <xf numFmtId="9" fontId="0" fillId="5" borderId="1" xfId="3" applyFont="1" applyFill="1" applyBorder="1"/>
    <xf numFmtId="178" fontId="3" fillId="4" borderId="8" xfId="0" applyNumberFormat="1" applyFont="1" applyFill="1" applyBorder="1" applyAlignment="1">
      <alignment horizontal="center" vertical="center"/>
    </xf>
    <xf numFmtId="4" fontId="3" fillId="4" borderId="9" xfId="0" applyNumberFormat="1" applyFont="1" applyFill="1" applyBorder="1" applyAlignment="1">
      <alignment horizontal="center" vertical="center"/>
    </xf>
    <xf numFmtId="179" fontId="3" fillId="4" borderId="9" xfId="0" applyNumberFormat="1" applyFont="1" applyFill="1" applyBorder="1" applyAlignment="1">
      <alignment horizontal="center" vertical="center"/>
    </xf>
    <xf numFmtId="180" fontId="3" fillId="4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78" fontId="3" fillId="3" borderId="11" xfId="0" applyNumberFormat="1" applyFont="1" applyFill="1" applyBorder="1" applyAlignment="1">
      <alignment horizontal="center" vertical="center"/>
    </xf>
    <xf numFmtId="4" fontId="3" fillId="3" borderId="12" xfId="0" applyNumberFormat="1" applyFont="1" applyFill="1" applyBorder="1" applyAlignment="1">
      <alignment horizontal="center" vertical="center"/>
    </xf>
    <xf numFmtId="179" fontId="3" fillId="3" borderId="12" xfId="0" applyNumberFormat="1" applyFont="1" applyFill="1" applyBorder="1" applyAlignment="1">
      <alignment horizontal="center" vertical="center"/>
    </xf>
    <xf numFmtId="180" fontId="3" fillId="3" borderId="12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78" fontId="3" fillId="4" borderId="3" xfId="0" applyNumberFormat="1" applyFont="1" applyFill="1" applyBorder="1" applyAlignment="1">
      <alignment horizontal="center" vertical="center"/>
    </xf>
    <xf numFmtId="4" fontId="3" fillId="4" borderId="4" xfId="0" applyNumberFormat="1" applyFont="1" applyFill="1" applyBorder="1" applyAlignment="1">
      <alignment horizontal="center" vertical="center"/>
    </xf>
    <xf numFmtId="179" fontId="3" fillId="4" borderId="4" xfId="0" applyNumberFormat="1" applyFont="1" applyFill="1" applyBorder="1" applyAlignment="1">
      <alignment horizontal="center" vertical="center"/>
    </xf>
    <xf numFmtId="180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80" fontId="3" fillId="6" borderId="1" xfId="0" applyNumberFormat="1" applyFont="1" applyFill="1" applyBorder="1" applyAlignment="1">
      <alignment horizontal="center" vertical="center"/>
    </xf>
    <xf numFmtId="179" fontId="3" fillId="6" borderId="1" xfId="0" applyNumberFormat="1" applyFont="1" applyFill="1" applyBorder="1" applyAlignment="1">
      <alignment horizontal="center" vertical="center"/>
    </xf>
    <xf numFmtId="4" fontId="3" fillId="7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10" fontId="0" fillId="5" borderId="1" xfId="0" applyNumberFormat="1" applyFill="1" applyBorder="1"/>
    <xf numFmtId="181" fontId="3" fillId="3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181" fontId="3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181" fontId="0" fillId="5" borderId="1" xfId="0" applyNumberFormat="1" applyFill="1" applyBorder="1"/>
    <xf numFmtId="181" fontId="3" fillId="4" borderId="9" xfId="0" applyNumberFormat="1" applyFont="1" applyFill="1" applyBorder="1" applyAlignment="1">
      <alignment horizontal="center" vertical="center"/>
    </xf>
    <xf numFmtId="182" fontId="3" fillId="0" borderId="9" xfId="0" applyNumberFormat="1" applyFont="1" applyBorder="1" applyAlignment="1">
      <alignment horizontal="center" vertical="center"/>
    </xf>
    <xf numFmtId="183" fontId="3" fillId="0" borderId="9" xfId="0" applyNumberFormat="1" applyFont="1" applyBorder="1" applyAlignment="1">
      <alignment horizontal="center" vertical="center"/>
    </xf>
    <xf numFmtId="181" fontId="3" fillId="3" borderId="12" xfId="0" applyNumberFormat="1" applyFont="1" applyFill="1" applyBorder="1" applyAlignment="1">
      <alignment horizontal="center" vertical="center"/>
    </xf>
    <xf numFmtId="182" fontId="3" fillId="0" borderId="12" xfId="0" applyNumberFormat="1" applyFont="1" applyBorder="1" applyAlignment="1">
      <alignment horizontal="center" vertical="center"/>
    </xf>
    <xf numFmtId="183" fontId="3" fillId="0" borderId="12" xfId="0" applyNumberFormat="1" applyFont="1" applyBorder="1" applyAlignment="1">
      <alignment horizontal="center" vertical="center"/>
    </xf>
    <xf numFmtId="181" fontId="3" fillId="4" borderId="4" xfId="0" applyNumberFormat="1" applyFont="1" applyFill="1" applyBorder="1" applyAlignment="1">
      <alignment horizontal="center" vertical="center"/>
    </xf>
    <xf numFmtId="182" fontId="3" fillId="0" borderId="4" xfId="0" applyNumberFormat="1" applyFont="1" applyBorder="1" applyAlignment="1">
      <alignment horizontal="center" vertical="center"/>
    </xf>
    <xf numFmtId="183" fontId="3" fillId="0" borderId="4" xfId="0" applyNumberFormat="1" applyFont="1" applyBorder="1" applyAlignment="1">
      <alignment horizontal="center" vertical="center"/>
    </xf>
    <xf numFmtId="183" fontId="4" fillId="7" borderId="1" xfId="0" applyNumberFormat="1" applyFont="1" applyFill="1" applyBorder="1" applyAlignment="1">
      <alignment horizontal="center" vertical="center"/>
    </xf>
    <xf numFmtId="181" fontId="4" fillId="6" borderId="1" xfId="0" applyNumberFormat="1" applyFont="1" applyFill="1" applyBorder="1" applyAlignment="1">
      <alignment horizontal="center" vertical="center"/>
    </xf>
    <xf numFmtId="182" fontId="4" fillId="8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180" fontId="0" fillId="0" borderId="0" xfId="0" applyNumberFormat="1"/>
    <xf numFmtId="0" fontId="0" fillId="5" borderId="14" xfId="0" applyFill="1" applyBorder="1"/>
    <xf numFmtId="0" fontId="6" fillId="0" borderId="0" xfId="0" applyFont="1"/>
    <xf numFmtId="0" fontId="1" fillId="2" borderId="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184" fontId="3" fillId="0" borderId="1" xfId="0" applyNumberFormat="1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9" fontId="7" fillId="5" borderId="14" xfId="3" applyFont="1" applyFill="1" applyBorder="1"/>
    <xf numFmtId="181" fontId="3" fillId="4" borderId="0" xfId="0" applyNumberFormat="1" applyFont="1" applyFill="1" applyAlignment="1">
      <alignment horizontal="center" vertical="center"/>
    </xf>
    <xf numFmtId="178" fontId="3" fillId="9" borderId="6" xfId="0" applyNumberFormat="1" applyFont="1" applyFill="1" applyBorder="1" applyAlignment="1">
      <alignment horizontal="center" vertical="center"/>
    </xf>
    <xf numFmtId="9" fontId="0" fillId="5" borderId="14" xfId="3" applyFont="1" applyFill="1" applyBorder="1"/>
    <xf numFmtId="181" fontId="0" fillId="0" borderId="16" xfId="0" applyNumberFormat="1" applyBorder="1"/>
    <xf numFmtId="9" fontId="0" fillId="5" borderId="17" xfId="3" applyFont="1" applyFill="1" applyBorder="1"/>
    <xf numFmtId="181" fontId="0" fillId="0" borderId="18" xfId="0" applyNumberFormat="1" applyBorder="1"/>
    <xf numFmtId="0" fontId="0" fillId="0" borderId="19" xfId="0" applyBorder="1"/>
    <xf numFmtId="10" fontId="0" fillId="0" borderId="0" xfId="0" applyNumberFormat="1"/>
    <xf numFmtId="178" fontId="3" fillId="0" borderId="6" xfId="0" applyNumberFormat="1" applyFont="1" applyBorder="1" applyAlignment="1">
      <alignment horizontal="center" vertical="center"/>
    </xf>
    <xf numFmtId="178" fontId="3" fillId="10" borderId="6" xfId="0" applyNumberFormat="1" applyFont="1" applyFill="1" applyBorder="1" applyAlignment="1">
      <alignment horizontal="center" vertical="center"/>
    </xf>
    <xf numFmtId="9" fontId="0" fillId="11" borderId="14" xfId="3" applyFont="1" applyFill="1" applyBorder="1"/>
    <xf numFmtId="9" fontId="0" fillId="11" borderId="17" xfId="3" applyFont="1" applyFill="1" applyBorder="1"/>
    <xf numFmtId="3" fontId="4" fillId="6" borderId="1" xfId="0" applyNumberFormat="1" applyFont="1" applyFill="1" applyBorder="1" applyAlignment="1">
      <alignment horizontal="center" vertical="center"/>
    </xf>
    <xf numFmtId="180" fontId="4" fillId="6" borderId="1" xfId="0" applyNumberFormat="1" applyFont="1" applyFill="1" applyBorder="1" applyAlignment="1">
      <alignment horizontal="center" vertical="center"/>
    </xf>
    <xf numFmtId="184" fontId="4" fillId="7" borderId="1" xfId="0" applyNumberFormat="1" applyFont="1" applyFill="1" applyBorder="1" applyAlignment="1">
      <alignment horizontal="center" vertical="center"/>
    </xf>
    <xf numFmtId="181" fontId="8" fillId="12" borderId="1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184" fontId="3" fillId="0" borderId="9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right"/>
    </xf>
    <xf numFmtId="8" fontId="0" fillId="5" borderId="14" xfId="0" applyNumberFormat="1" applyFill="1" applyBorder="1"/>
    <xf numFmtId="0" fontId="9" fillId="0" borderId="0" xfId="0" applyFont="1"/>
    <xf numFmtId="0" fontId="10" fillId="4" borderId="0" xfId="0" applyFont="1" applyFill="1"/>
    <xf numFmtId="0" fontId="11" fillId="0" borderId="0" xfId="0" applyFont="1"/>
    <xf numFmtId="0" fontId="12" fillId="0" borderId="0" xfId="0" applyFont="1"/>
    <xf numFmtId="0" fontId="0" fillId="0" borderId="0" xfId="0" applyAlignment="1">
      <alignment horizontal="left"/>
    </xf>
    <xf numFmtId="181" fontId="0" fillId="0" borderId="0" xfId="0" applyNumberFormat="1"/>
    <xf numFmtId="182" fontId="0" fillId="0" borderId="0" xfId="0" applyNumberFormat="1"/>
    <xf numFmtId="9" fontId="0" fillId="0" borderId="0" xfId="0" applyNumberFormat="1"/>
    <xf numFmtId="0" fontId="6" fillId="13" borderId="20" xfId="0" applyFont="1" applyFill="1" applyBorder="1"/>
    <xf numFmtId="0" fontId="6" fillId="0" borderId="20" xfId="0" applyFont="1" applyBorder="1" applyAlignment="1">
      <alignment horizontal="left"/>
    </xf>
    <xf numFmtId="181" fontId="6" fillId="0" borderId="20" xfId="0" applyNumberFormat="1" applyFont="1" applyBorder="1"/>
    <xf numFmtId="178" fontId="3" fillId="3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178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181" fontId="3" fillId="4" borderId="21" xfId="0" applyNumberFormat="1" applyFont="1" applyFill="1" applyBorder="1" applyAlignment="1">
      <alignment horizontal="center" vertical="center"/>
    </xf>
    <xf numFmtId="4" fontId="3" fillId="4" borderId="21" xfId="0" applyNumberFormat="1" applyFont="1" applyFill="1" applyBorder="1" applyAlignment="1">
      <alignment horizontal="center" vertical="center"/>
    </xf>
    <xf numFmtId="179" fontId="3" fillId="4" borderId="21" xfId="0" applyNumberFormat="1" applyFont="1" applyFill="1" applyBorder="1" applyAlignment="1">
      <alignment horizontal="center" vertical="center"/>
    </xf>
    <xf numFmtId="180" fontId="3" fillId="4" borderId="21" xfId="0" applyNumberFormat="1" applyFont="1" applyFill="1" applyBorder="1" applyAlignment="1">
      <alignment horizontal="center" vertical="center"/>
    </xf>
    <xf numFmtId="181" fontId="3" fillId="4" borderId="22" xfId="0" applyNumberFormat="1" applyFont="1" applyFill="1" applyBorder="1" applyAlignment="1">
      <alignment horizontal="center" vertical="center"/>
    </xf>
    <xf numFmtId="4" fontId="3" fillId="4" borderId="22" xfId="0" applyNumberFormat="1" applyFont="1" applyFill="1" applyBorder="1" applyAlignment="1">
      <alignment horizontal="center" vertical="center"/>
    </xf>
    <xf numFmtId="179" fontId="3" fillId="4" borderId="22" xfId="0" applyNumberFormat="1" applyFont="1" applyFill="1" applyBorder="1" applyAlignment="1">
      <alignment horizontal="center" vertical="center"/>
    </xf>
    <xf numFmtId="180" fontId="3" fillId="4" borderId="22" xfId="0" applyNumberFormat="1" applyFont="1" applyFill="1" applyBorder="1" applyAlignment="1">
      <alignment horizontal="center" vertical="center"/>
    </xf>
    <xf numFmtId="178" fontId="3" fillId="9" borderId="1" xfId="0" applyNumberFormat="1" applyFont="1" applyFill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15" fillId="14" borderId="0" xfId="0" applyFont="1" applyFill="1" applyBorder="1" applyAlignment="1"/>
    <xf numFmtId="0" fontId="15" fillId="14" borderId="23" xfId="0" applyFont="1" applyFill="1" applyBorder="1" applyAlignment="1">
      <alignment horizontal="center"/>
    </xf>
    <xf numFmtId="0" fontId="15" fillId="14" borderId="0" xfId="0" applyFont="1" applyFill="1" applyBorder="1" applyAlignment="1"/>
    <xf numFmtId="0" fontId="16" fillId="15" borderId="24" xfId="0" applyFont="1" applyFill="1" applyBorder="1" applyAlignment="1">
      <alignment horizontal="center" wrapText="1"/>
    </xf>
    <xf numFmtId="17" fontId="17" fillId="0" borderId="24" xfId="0" applyNumberFormat="1" applyFont="1" applyBorder="1" applyAlignment="1">
      <alignment wrapText="1"/>
    </xf>
    <xf numFmtId="0" fontId="17" fillId="0" borderId="24" xfId="0" applyFont="1" applyBorder="1" applyAlignment="1">
      <alignment wrapText="1"/>
    </xf>
    <xf numFmtId="0" fontId="17" fillId="16" borderId="24" xfId="0" applyFont="1" applyFill="1" applyBorder="1" applyAlignment="1">
      <alignment wrapText="1"/>
    </xf>
    <xf numFmtId="0" fontId="17" fillId="17" borderId="24" xfId="0" applyFont="1" applyFill="1" applyBorder="1" applyAlignment="1">
      <alignment wrapText="1"/>
    </xf>
    <xf numFmtId="0" fontId="17" fillId="18" borderId="24" xfId="0" applyFont="1" applyFill="1" applyBorder="1" applyAlignment="1">
      <alignment wrapText="1"/>
    </xf>
    <xf numFmtId="0" fontId="17" fillId="19" borderId="24" xfId="0" applyFont="1" applyFill="1" applyBorder="1" applyAlignment="1">
      <alignment wrapText="1"/>
    </xf>
    <xf numFmtId="0" fontId="16" fillId="15" borderId="1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8" fontId="17" fillId="0" borderId="1" xfId="0" applyNumberFormat="1" applyFont="1" applyBorder="1" applyAlignment="1">
      <alignment horizontal="center"/>
    </xf>
    <xf numFmtId="185" fontId="17" fillId="0" borderId="1" xfId="0" applyNumberFormat="1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10" fontId="17" fillId="0" borderId="1" xfId="0" applyNumberFormat="1" applyFont="1" applyBorder="1" applyAlignment="1">
      <alignment horizontal="center" wrapText="1"/>
    </xf>
    <xf numFmtId="0" fontId="15" fillId="14" borderId="25" xfId="0" applyFont="1" applyFill="1" applyBorder="1" applyAlignment="1">
      <alignment horizontal="center"/>
    </xf>
    <xf numFmtId="0" fontId="15" fillId="14" borderId="25" xfId="0" applyFont="1" applyFill="1" applyBorder="1" applyAlignment="1"/>
    <xf numFmtId="0" fontId="18" fillId="0" borderId="0" xfId="0" applyFont="1"/>
    <xf numFmtId="0" fontId="19" fillId="20" borderId="26" xfId="0" applyFont="1" applyFill="1" applyBorder="1" applyAlignment="1">
      <alignment horizontal="center" vertical="top"/>
    </xf>
    <xf numFmtId="0" fontId="19" fillId="20" borderId="27" xfId="0" applyFont="1" applyFill="1" applyBorder="1" applyAlignment="1">
      <alignment horizontal="center" vertical="top"/>
    </xf>
    <xf numFmtId="0" fontId="19" fillId="20" borderId="28" xfId="0" applyFont="1" applyFill="1" applyBorder="1" applyAlignment="1">
      <alignment horizontal="center" vertical="top"/>
    </xf>
    <xf numFmtId="0" fontId="19" fillId="20" borderId="26" xfId="0" applyFont="1" applyFill="1" applyBorder="1" applyAlignment="1">
      <alignment horizontal="center" vertical="top" wrapText="1"/>
    </xf>
    <xf numFmtId="0" fontId="20" fillId="20" borderId="29" xfId="0" applyFont="1" applyFill="1" applyBorder="1" applyAlignment="1">
      <alignment horizontal="center" vertical="top"/>
    </xf>
    <xf numFmtId="0" fontId="20" fillId="20" borderId="0" xfId="0" applyFont="1" applyFill="1" applyAlignment="1">
      <alignment horizontal="center" vertical="top"/>
    </xf>
    <xf numFmtId="0" fontId="20" fillId="20" borderId="30" xfId="0" applyFont="1" applyFill="1" applyBorder="1" applyAlignment="1">
      <alignment horizontal="center" vertical="top"/>
    </xf>
    <xf numFmtId="9" fontId="21" fillId="20" borderId="29" xfId="0" applyNumberFormat="1" applyFont="1" applyFill="1" applyBorder="1" applyAlignment="1">
      <alignment horizontal="center" vertical="top" wrapText="1"/>
    </xf>
    <xf numFmtId="9" fontId="21" fillId="20" borderId="0" xfId="0" applyNumberFormat="1" applyFont="1" applyFill="1" applyAlignment="1">
      <alignment horizontal="center" vertical="top"/>
    </xf>
    <xf numFmtId="9" fontId="21" fillId="20" borderId="30" xfId="0" applyNumberFormat="1" applyFont="1" applyFill="1" applyBorder="1" applyAlignment="1">
      <alignment horizontal="center" vertical="top"/>
    </xf>
    <xf numFmtId="0" fontId="19" fillId="20" borderId="31" xfId="0" applyFont="1" applyFill="1" applyBorder="1" applyAlignment="1">
      <alignment horizontal="center" vertical="top"/>
    </xf>
    <xf numFmtId="0" fontId="19" fillId="20" borderId="32" xfId="0" applyFont="1" applyFill="1" applyBorder="1" applyAlignment="1">
      <alignment horizontal="center" vertical="top"/>
    </xf>
    <xf numFmtId="0" fontId="19" fillId="20" borderId="33" xfId="0" applyFont="1" applyFill="1" applyBorder="1" applyAlignment="1">
      <alignment horizontal="center" vertical="top"/>
    </xf>
    <xf numFmtId="0" fontId="19" fillId="20" borderId="31" xfId="0" applyFont="1" applyFill="1" applyBorder="1" applyAlignment="1">
      <alignment horizontal="center" vertical="top" wrapText="1"/>
    </xf>
    <xf numFmtId="0" fontId="0" fillId="20" borderId="0" xfId="0" applyFill="1"/>
    <xf numFmtId="0" fontId="15" fillId="14" borderId="25" xfId="0" applyFont="1" applyFill="1" applyBorder="1" applyAlignment="1">
      <alignment horizontal="center"/>
    </xf>
    <xf numFmtId="0" fontId="22" fillId="20" borderId="26" xfId="0" applyFont="1" applyFill="1" applyBorder="1" applyAlignment="1">
      <alignment horizontal="center" vertical="top"/>
    </xf>
    <xf numFmtId="0" fontId="22" fillId="20" borderId="27" xfId="0" applyFont="1" applyFill="1" applyBorder="1" applyAlignment="1">
      <alignment horizontal="center" vertical="top"/>
    </xf>
    <xf numFmtId="0" fontId="22" fillId="20" borderId="28" xfId="0" applyFont="1" applyFill="1" applyBorder="1" applyAlignment="1">
      <alignment horizontal="center" vertical="top"/>
    </xf>
    <xf numFmtId="0" fontId="23" fillId="20" borderId="26" xfId="0" applyFont="1" applyFill="1" applyBorder="1" applyAlignment="1">
      <alignment horizontal="center"/>
    </xf>
    <xf numFmtId="0" fontId="23" fillId="20" borderId="27" xfId="0" applyFont="1" applyFill="1" applyBorder="1" applyAlignment="1">
      <alignment horizontal="center"/>
    </xf>
    <xf numFmtId="0" fontId="23" fillId="20" borderId="28" xfId="0" applyFont="1" applyFill="1" applyBorder="1" applyAlignment="1">
      <alignment horizontal="center"/>
    </xf>
    <xf numFmtId="0" fontId="22" fillId="20" borderId="26" xfId="0" applyFont="1" applyFill="1" applyBorder="1" applyAlignment="1">
      <alignment horizontal="center" vertical="top" wrapText="1"/>
    </xf>
    <xf numFmtId="0" fontId="24" fillId="20" borderId="29" xfId="0" applyFont="1" applyFill="1" applyBorder="1" applyAlignment="1">
      <alignment horizontal="center" vertical="top"/>
    </xf>
    <xf numFmtId="0" fontId="24" fillId="20" borderId="0" xfId="0" applyFont="1" applyFill="1" applyAlignment="1">
      <alignment horizontal="center" vertical="top"/>
    </xf>
    <xf numFmtId="0" fontId="24" fillId="20" borderId="30" xfId="0" applyFont="1" applyFill="1" applyBorder="1" applyAlignment="1">
      <alignment horizontal="center" vertical="top"/>
    </xf>
    <xf numFmtId="0" fontId="0" fillId="20" borderId="29" xfId="0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20" borderId="30" xfId="0" applyFill="1" applyBorder="1" applyAlignment="1">
      <alignment horizontal="center"/>
    </xf>
    <xf numFmtId="186" fontId="25" fillId="20" borderId="29" xfId="0" applyNumberFormat="1" applyFont="1" applyFill="1" applyBorder="1" applyAlignment="1">
      <alignment horizontal="center" vertical="top"/>
    </xf>
    <xf numFmtId="186" fontId="25" fillId="20" borderId="0" xfId="0" applyNumberFormat="1" applyFont="1" applyFill="1" applyAlignment="1">
      <alignment horizontal="center" vertical="top"/>
    </xf>
    <xf numFmtId="186" fontId="25" fillId="20" borderId="30" xfId="0" applyNumberFormat="1" applyFont="1" applyFill="1" applyBorder="1" applyAlignment="1">
      <alignment horizontal="center" vertical="top"/>
    </xf>
    <xf numFmtId="9" fontId="26" fillId="20" borderId="29" xfId="3" applyFont="1" applyFill="1" applyBorder="1" applyAlignment="1">
      <alignment horizontal="center" vertical="top"/>
    </xf>
    <xf numFmtId="9" fontId="26" fillId="20" borderId="0" xfId="3" applyFont="1" applyFill="1" applyBorder="1" applyAlignment="1">
      <alignment horizontal="center" vertical="top"/>
    </xf>
    <xf numFmtId="9" fontId="26" fillId="20" borderId="30" xfId="3" applyFont="1" applyFill="1" applyBorder="1" applyAlignment="1">
      <alignment horizontal="center" vertical="top"/>
    </xf>
    <xf numFmtId="10" fontId="27" fillId="20" borderId="29" xfId="0" applyNumberFormat="1" applyFont="1" applyFill="1" applyBorder="1" applyAlignment="1">
      <alignment horizontal="center"/>
    </xf>
    <xf numFmtId="10" fontId="27" fillId="20" borderId="0" xfId="0" applyNumberFormat="1" applyFont="1" applyFill="1" applyAlignment="1">
      <alignment horizontal="center"/>
    </xf>
    <xf numFmtId="10" fontId="27" fillId="20" borderId="30" xfId="0" applyNumberFormat="1" applyFont="1" applyFill="1" applyBorder="1" applyAlignment="1">
      <alignment horizontal="center"/>
    </xf>
    <xf numFmtId="0" fontId="28" fillId="20" borderId="29" xfId="0" applyFont="1" applyFill="1" applyBorder="1" applyAlignment="1">
      <alignment horizontal="center"/>
    </xf>
    <xf numFmtId="0" fontId="28" fillId="20" borderId="0" xfId="0" applyFont="1" applyFill="1" applyAlignment="1">
      <alignment horizontal="center"/>
    </xf>
    <xf numFmtId="0" fontId="28" fillId="20" borderId="30" xfId="0" applyFont="1" applyFill="1" applyBorder="1" applyAlignment="1">
      <alignment horizontal="center"/>
    </xf>
    <xf numFmtId="9" fontId="25" fillId="20" borderId="29" xfId="0" applyNumberFormat="1" applyFont="1" applyFill="1" applyBorder="1" applyAlignment="1">
      <alignment horizontal="center" vertical="top"/>
    </xf>
    <xf numFmtId="9" fontId="25" fillId="20" borderId="0" xfId="0" applyNumberFormat="1" applyFont="1" applyFill="1" applyAlignment="1">
      <alignment horizontal="center" vertical="top"/>
    </xf>
    <xf numFmtId="9" fontId="25" fillId="20" borderId="30" xfId="0" applyNumberFormat="1" applyFont="1" applyFill="1" applyBorder="1" applyAlignment="1">
      <alignment horizontal="center" vertical="top"/>
    </xf>
    <xf numFmtId="0" fontId="29" fillId="20" borderId="31" xfId="0" applyFont="1" applyFill="1" applyBorder="1" applyAlignment="1">
      <alignment horizontal="center" vertical="top"/>
    </xf>
    <xf numFmtId="0" fontId="29" fillId="20" borderId="32" xfId="0" applyFont="1" applyFill="1" applyBorder="1" applyAlignment="1">
      <alignment horizontal="center" vertical="top"/>
    </xf>
    <xf numFmtId="0" fontId="29" fillId="20" borderId="33" xfId="0" applyFont="1" applyFill="1" applyBorder="1" applyAlignment="1">
      <alignment horizontal="center" vertical="top"/>
    </xf>
    <xf numFmtId="17" fontId="23" fillId="20" borderId="31" xfId="0" applyNumberFormat="1" applyFont="1" applyFill="1" applyBorder="1" applyAlignment="1">
      <alignment horizontal="center"/>
    </xf>
    <xf numFmtId="17" fontId="23" fillId="20" borderId="32" xfId="0" applyNumberFormat="1" applyFont="1" applyFill="1" applyBorder="1" applyAlignment="1">
      <alignment horizontal="center"/>
    </xf>
    <xf numFmtId="17" fontId="23" fillId="20" borderId="33" xfId="0" applyNumberFormat="1" applyFont="1" applyFill="1" applyBorder="1" applyAlignment="1">
      <alignment horizontal="center"/>
    </xf>
    <xf numFmtId="0" fontId="23" fillId="20" borderId="31" xfId="0" applyFont="1" applyFill="1" applyBorder="1" applyAlignment="1">
      <alignment horizontal="center"/>
    </xf>
    <xf numFmtId="0" fontId="23" fillId="20" borderId="32" xfId="0" applyFont="1" applyFill="1" applyBorder="1" applyAlignment="1">
      <alignment horizontal="center"/>
    </xf>
    <xf numFmtId="0" fontId="23" fillId="20" borderId="33" xfId="0" applyFont="1" applyFill="1" applyBorder="1" applyAlignment="1">
      <alignment horizontal="center"/>
    </xf>
    <xf numFmtId="0" fontId="22" fillId="20" borderId="31" xfId="0" applyFont="1" applyFill="1" applyBorder="1" applyAlignment="1">
      <alignment horizontal="center" vertical="top"/>
    </xf>
    <xf numFmtId="0" fontId="22" fillId="20" borderId="32" xfId="0" applyFont="1" applyFill="1" applyBorder="1" applyAlignment="1">
      <alignment horizontal="center" vertical="top"/>
    </xf>
    <xf numFmtId="0" fontId="22" fillId="20" borderId="33" xfId="0" applyFont="1" applyFill="1" applyBorder="1" applyAlignment="1">
      <alignment horizontal="center" vertical="top"/>
    </xf>
    <xf numFmtId="0" fontId="0" fillId="2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numFmt numFmtId="9" formatCode="0%"/>
    </dxf>
    <dxf>
      <font>
        <color rgb="FF9C0006"/>
      </font>
      <fill>
        <patternFill patternType="solid">
          <bgColor rgb="FFFFC7CE"/>
        </patternFill>
      </fill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78" formatCode="yyyy\-mm"/>
      <fill>
        <patternFill patternType="solid">
          <fgColor rgb="FFCCFFFF"/>
          <bgColor rgb="FFD9E1F2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1" formatCode="#,##0.0\ &quot;M&quot;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3" formatCode="#,##0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0" formatCode="#,##0.0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4" formatCode="&quot;$&quot;#,##0"/>
      <fill>
        <patternFill patternType="solid">
          <fgColor rgb="FFFFFFCC"/>
          <bgColor theme="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fill>
        <patternFill patternType="solid">
          <fgColor rgb="FFCCFFFF"/>
          <bgColor rgb="FFD9E1F2"/>
        </patternFill>
      </fill>
      <alignment horizontal="center" vertical="center"/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78" formatCode="yyyy\-mm"/>
      <fill>
        <patternFill patternType="solid">
          <fgColor rgb="FFCCFFFF"/>
          <bgColor rgb="FFD9E1F2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1" formatCode="#,##0.0\ &quot;M&quot;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1" formatCode="#,##0.0\ &quot;M&quot;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2" formatCode="#,##0.0;[Red]\-#,##0.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3" formatCode="0.0%"/>
      <fill>
        <patternFill patternType="solid">
          <fgColor rgb="FFFFFFCC"/>
          <bgColor theme="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rgb="FF00B050"/>
      </font>
    </dxf>
    <dxf>
      <font>
        <color rgb="FFC00000"/>
      </font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78" formatCode="yyyy\-mm"/>
      <fill>
        <patternFill patternType="solid">
          <fgColor rgb="FFCCFFFF"/>
          <bgColor rgb="FFD9E1F2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4" formatCode="#,##0.00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79" formatCode="0.0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0" formatCode="#,##0.0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numFmt numFmtId="180" formatCode="#,##0.0"/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rgb="FF000000"/>
      </font>
      <fill>
        <patternFill patternType="solid">
          <fgColor rgb="FFCCFFFF"/>
          <bgColor rgb="FFD9E1F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AC775"/>
      <color rgb="0094A3B8"/>
      <color rgb="00F09595"/>
      <color rgb="001F3864"/>
      <color rgb="00BFBFBF"/>
      <color rgb="00D3E319"/>
      <color rgb="00CE292F"/>
      <color rgb="00F2F2F2"/>
      <color rgb="00FFFFFF"/>
      <color rgb="00C9A84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rgbClr val="C9A84C"/>
                </a:solidFill>
              </a:rPr>
              <a:t>Canal Monthly Revenue (USD M) · 2015–2024</a:t>
            </a:r>
            <a:endParaRPr lang="en-US" sz="1100">
              <a:solidFill>
                <a:srgbClr val="C9A84C"/>
              </a:solidFill>
            </a:endParaRPr>
          </a:p>
        </c:rich>
      </c:tx>
      <c:layout/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Suez_Canal!$B$2</c:f>
              <c:strCache>
                <c:ptCount val="1"/>
                <c:pt idx="0">
                  <c:v>Revenue
(USD M)</c:v>
                </c:pt>
              </c:strCache>
            </c:strRef>
          </c:tx>
          <c:spPr>
            <a:ln w="31750" cap="rnd">
              <a:solidFill>
                <a:srgbClr val="C9A84C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layout>
                <c:manualLayout>
                  <c:x val="-0.0624462258682492"/>
                  <c:y val="0.12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rgbClr val="5DCAA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Ever Given
Mar 2021</a:t>
                    </a:r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layout>
                <c:manualLayout>
                  <c:x val="-0.00113544215637452"/>
                  <c:y val="0.13888888888888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rgbClr val="5DCAA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Red Sea Crisis
Nov 2023</a:t>
                    </a:r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rgbClr val="5DCAA5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Suez_Canal!$A$3:$A$122</c:f>
              <c:numCache>
                <c:formatCode>yyyy\-mm</c:formatCode>
                <c:ptCount val="120"/>
                <c:pt idx="0" c:formatCode="yyyy\-mm">
                  <c:v>42005</c:v>
                </c:pt>
                <c:pt idx="1" c:formatCode="yyyy\-mm">
                  <c:v>42036</c:v>
                </c:pt>
                <c:pt idx="2" c:formatCode="yyyy\-mm">
                  <c:v>42064</c:v>
                </c:pt>
                <c:pt idx="3" c:formatCode="yyyy\-mm">
                  <c:v>42095</c:v>
                </c:pt>
                <c:pt idx="4" c:formatCode="yyyy\-mm">
                  <c:v>42125</c:v>
                </c:pt>
                <c:pt idx="5" c:formatCode="yyyy\-mm">
                  <c:v>42156</c:v>
                </c:pt>
                <c:pt idx="6" c:formatCode="yyyy\-mm">
                  <c:v>42186</c:v>
                </c:pt>
                <c:pt idx="7" c:formatCode="yyyy\-mm">
                  <c:v>42217</c:v>
                </c:pt>
                <c:pt idx="8" c:formatCode="yyyy\-mm">
                  <c:v>42248</c:v>
                </c:pt>
                <c:pt idx="9" c:formatCode="yyyy\-mm">
                  <c:v>42278</c:v>
                </c:pt>
                <c:pt idx="10" c:formatCode="yyyy\-mm">
                  <c:v>42309</c:v>
                </c:pt>
                <c:pt idx="11" c:formatCode="yyyy\-mm">
                  <c:v>42339</c:v>
                </c:pt>
                <c:pt idx="12" c:formatCode="yyyy\-mm">
                  <c:v>42370</c:v>
                </c:pt>
                <c:pt idx="13" c:formatCode="yyyy\-mm">
                  <c:v>42401</c:v>
                </c:pt>
                <c:pt idx="14" c:formatCode="yyyy\-mm">
                  <c:v>42430</c:v>
                </c:pt>
                <c:pt idx="15" c:formatCode="yyyy\-mm">
                  <c:v>42461</c:v>
                </c:pt>
                <c:pt idx="16" c:formatCode="yyyy\-mm">
                  <c:v>42491</c:v>
                </c:pt>
                <c:pt idx="17" c:formatCode="yyyy\-mm">
                  <c:v>42522</c:v>
                </c:pt>
                <c:pt idx="18" c:formatCode="yyyy\-mm">
                  <c:v>42552</c:v>
                </c:pt>
                <c:pt idx="19" c:formatCode="yyyy\-mm">
                  <c:v>42583</c:v>
                </c:pt>
                <c:pt idx="20" c:formatCode="yyyy\-mm">
                  <c:v>42614</c:v>
                </c:pt>
                <c:pt idx="21" c:formatCode="yyyy\-mm">
                  <c:v>42644</c:v>
                </c:pt>
                <c:pt idx="22" c:formatCode="yyyy\-mm">
                  <c:v>42675</c:v>
                </c:pt>
                <c:pt idx="23" c:formatCode="yyyy\-mm">
                  <c:v>42705</c:v>
                </c:pt>
                <c:pt idx="24" c:formatCode="yyyy\-mm">
                  <c:v>42736</c:v>
                </c:pt>
                <c:pt idx="25" c:formatCode="yyyy\-mm">
                  <c:v>42767</c:v>
                </c:pt>
                <c:pt idx="26" c:formatCode="yyyy\-mm">
                  <c:v>42795</c:v>
                </c:pt>
                <c:pt idx="27" c:formatCode="yyyy\-mm">
                  <c:v>42826</c:v>
                </c:pt>
                <c:pt idx="28" c:formatCode="yyyy\-mm">
                  <c:v>42856</c:v>
                </c:pt>
                <c:pt idx="29" c:formatCode="yyyy\-mm">
                  <c:v>42887</c:v>
                </c:pt>
                <c:pt idx="30" c:formatCode="yyyy\-mm">
                  <c:v>42917</c:v>
                </c:pt>
                <c:pt idx="31" c:formatCode="yyyy\-mm">
                  <c:v>42948</c:v>
                </c:pt>
                <c:pt idx="32" c:formatCode="yyyy\-mm">
                  <c:v>42979</c:v>
                </c:pt>
                <c:pt idx="33" c:formatCode="yyyy\-mm">
                  <c:v>43009</c:v>
                </c:pt>
                <c:pt idx="34" c:formatCode="yyyy\-mm">
                  <c:v>43040</c:v>
                </c:pt>
                <c:pt idx="35" c:formatCode="yyyy\-mm">
                  <c:v>43070</c:v>
                </c:pt>
                <c:pt idx="36" c:formatCode="yyyy\-mm">
                  <c:v>43101</c:v>
                </c:pt>
                <c:pt idx="37" c:formatCode="yyyy\-mm">
                  <c:v>43132</c:v>
                </c:pt>
                <c:pt idx="38" c:formatCode="yyyy\-mm">
                  <c:v>43160</c:v>
                </c:pt>
                <c:pt idx="39" c:formatCode="yyyy\-mm">
                  <c:v>43191</c:v>
                </c:pt>
                <c:pt idx="40" c:formatCode="yyyy\-mm">
                  <c:v>43221</c:v>
                </c:pt>
                <c:pt idx="41" c:formatCode="yyyy\-mm">
                  <c:v>43252</c:v>
                </c:pt>
                <c:pt idx="42" c:formatCode="yyyy\-mm">
                  <c:v>43282</c:v>
                </c:pt>
                <c:pt idx="43" c:formatCode="yyyy\-mm">
                  <c:v>43313</c:v>
                </c:pt>
                <c:pt idx="44" c:formatCode="yyyy\-mm">
                  <c:v>43344</c:v>
                </c:pt>
                <c:pt idx="45" c:formatCode="yyyy\-mm">
                  <c:v>43374</c:v>
                </c:pt>
                <c:pt idx="46" c:formatCode="yyyy\-mm">
                  <c:v>43405</c:v>
                </c:pt>
                <c:pt idx="47" c:formatCode="yyyy\-mm">
                  <c:v>43435</c:v>
                </c:pt>
                <c:pt idx="48" c:formatCode="yyyy\-mm">
                  <c:v>43466</c:v>
                </c:pt>
                <c:pt idx="49" c:formatCode="yyyy\-mm">
                  <c:v>43497</c:v>
                </c:pt>
                <c:pt idx="50" c:formatCode="yyyy\-mm">
                  <c:v>43525</c:v>
                </c:pt>
                <c:pt idx="51" c:formatCode="yyyy\-mm">
                  <c:v>43556</c:v>
                </c:pt>
                <c:pt idx="52" c:formatCode="yyyy\-mm">
                  <c:v>43586</c:v>
                </c:pt>
                <c:pt idx="53" c:formatCode="yyyy\-mm">
                  <c:v>43617</c:v>
                </c:pt>
                <c:pt idx="54" c:formatCode="yyyy\-mm">
                  <c:v>43647</c:v>
                </c:pt>
                <c:pt idx="55" c:formatCode="yyyy\-mm">
                  <c:v>43678</c:v>
                </c:pt>
                <c:pt idx="56" c:formatCode="yyyy\-mm">
                  <c:v>43709</c:v>
                </c:pt>
                <c:pt idx="57" c:formatCode="yyyy\-mm">
                  <c:v>43739</c:v>
                </c:pt>
                <c:pt idx="58" c:formatCode="yyyy\-mm">
                  <c:v>43770</c:v>
                </c:pt>
                <c:pt idx="59" c:formatCode="yyyy\-mm">
                  <c:v>43800</c:v>
                </c:pt>
                <c:pt idx="60" c:formatCode="yyyy\-mm">
                  <c:v>43831</c:v>
                </c:pt>
                <c:pt idx="61" c:formatCode="yyyy\-mm">
                  <c:v>43862</c:v>
                </c:pt>
                <c:pt idx="62" c:formatCode="yyyy\-mm">
                  <c:v>43891</c:v>
                </c:pt>
                <c:pt idx="63" c:formatCode="yyyy\-mm">
                  <c:v>43922</c:v>
                </c:pt>
                <c:pt idx="64" c:formatCode="yyyy\-mm">
                  <c:v>43952</c:v>
                </c:pt>
                <c:pt idx="65" c:formatCode="yyyy\-mm">
                  <c:v>43983</c:v>
                </c:pt>
                <c:pt idx="66" c:formatCode="yyyy\-mm">
                  <c:v>44013</c:v>
                </c:pt>
                <c:pt idx="67" c:formatCode="yyyy\-mm">
                  <c:v>44044</c:v>
                </c:pt>
                <c:pt idx="68" c:formatCode="yyyy\-mm">
                  <c:v>44075</c:v>
                </c:pt>
                <c:pt idx="69" c:formatCode="yyyy\-mm">
                  <c:v>44105</c:v>
                </c:pt>
                <c:pt idx="70" c:formatCode="yyyy\-mm">
                  <c:v>44136</c:v>
                </c:pt>
                <c:pt idx="71" c:formatCode="yyyy\-mm">
                  <c:v>44166</c:v>
                </c:pt>
                <c:pt idx="72" c:formatCode="yyyy\-mm">
                  <c:v>44197</c:v>
                </c:pt>
                <c:pt idx="73" c:formatCode="yyyy\-mm">
                  <c:v>44228</c:v>
                </c:pt>
                <c:pt idx="74" c:formatCode="yyyy\-mm">
                  <c:v>44256</c:v>
                </c:pt>
                <c:pt idx="75" c:formatCode="yyyy\-mm">
                  <c:v>44287</c:v>
                </c:pt>
                <c:pt idx="76" c:formatCode="yyyy\-mm">
                  <c:v>44317</c:v>
                </c:pt>
                <c:pt idx="77" c:formatCode="yyyy\-mm">
                  <c:v>44348</c:v>
                </c:pt>
                <c:pt idx="78" c:formatCode="yyyy\-mm">
                  <c:v>44378</c:v>
                </c:pt>
                <c:pt idx="79" c:formatCode="yyyy\-mm">
                  <c:v>44409</c:v>
                </c:pt>
                <c:pt idx="80" c:formatCode="yyyy\-mm">
                  <c:v>44440</c:v>
                </c:pt>
                <c:pt idx="81" c:formatCode="yyyy\-mm">
                  <c:v>44470</c:v>
                </c:pt>
                <c:pt idx="82" c:formatCode="yyyy\-mm">
                  <c:v>44501</c:v>
                </c:pt>
                <c:pt idx="83" c:formatCode="yyyy\-mm">
                  <c:v>44531</c:v>
                </c:pt>
                <c:pt idx="84" c:formatCode="yyyy\-mm">
                  <c:v>44562</c:v>
                </c:pt>
                <c:pt idx="85" c:formatCode="yyyy\-mm">
                  <c:v>44593</c:v>
                </c:pt>
                <c:pt idx="86" c:formatCode="yyyy\-mm">
                  <c:v>44621</c:v>
                </c:pt>
                <c:pt idx="87" c:formatCode="yyyy\-mm">
                  <c:v>44652</c:v>
                </c:pt>
                <c:pt idx="88" c:formatCode="yyyy\-mm">
                  <c:v>44682</c:v>
                </c:pt>
                <c:pt idx="89" c:formatCode="yyyy\-mm">
                  <c:v>44713</c:v>
                </c:pt>
                <c:pt idx="90" c:formatCode="yyyy\-mm">
                  <c:v>44743</c:v>
                </c:pt>
                <c:pt idx="91" c:formatCode="yyyy\-mm">
                  <c:v>44774</c:v>
                </c:pt>
                <c:pt idx="92" c:formatCode="yyyy\-mm">
                  <c:v>44805</c:v>
                </c:pt>
                <c:pt idx="93" c:formatCode="yyyy\-mm">
                  <c:v>44835</c:v>
                </c:pt>
                <c:pt idx="94" c:formatCode="yyyy\-mm">
                  <c:v>44866</c:v>
                </c:pt>
                <c:pt idx="95" c:formatCode="yyyy\-mm">
                  <c:v>44896</c:v>
                </c:pt>
                <c:pt idx="96" c:formatCode="yyyy\-mm">
                  <c:v>44927</c:v>
                </c:pt>
                <c:pt idx="97" c:formatCode="yyyy\-mm">
                  <c:v>44958</c:v>
                </c:pt>
                <c:pt idx="98" c:formatCode="yyyy\-mm">
                  <c:v>44986</c:v>
                </c:pt>
                <c:pt idx="99" c:formatCode="yyyy\-mm">
                  <c:v>45017</c:v>
                </c:pt>
                <c:pt idx="100" c:formatCode="yyyy\-mm">
                  <c:v>45047</c:v>
                </c:pt>
                <c:pt idx="101" c:formatCode="yyyy\-mm">
                  <c:v>45078</c:v>
                </c:pt>
                <c:pt idx="102" c:formatCode="yyyy\-mm">
                  <c:v>45108</c:v>
                </c:pt>
                <c:pt idx="103" c:formatCode="yyyy\-mm">
                  <c:v>45139</c:v>
                </c:pt>
                <c:pt idx="104" c:formatCode="yyyy\-mm">
                  <c:v>45170</c:v>
                </c:pt>
                <c:pt idx="105" c:formatCode="yyyy\-mm">
                  <c:v>45200</c:v>
                </c:pt>
                <c:pt idx="106" c:formatCode="yyyy\-mm">
                  <c:v>45231</c:v>
                </c:pt>
                <c:pt idx="107" c:formatCode="yyyy\-mm">
                  <c:v>45261</c:v>
                </c:pt>
                <c:pt idx="108" c:formatCode="yyyy\-mm">
                  <c:v>45292</c:v>
                </c:pt>
                <c:pt idx="109" c:formatCode="yyyy\-mm">
                  <c:v>45323</c:v>
                </c:pt>
                <c:pt idx="110" c:formatCode="yyyy\-mm">
                  <c:v>45352</c:v>
                </c:pt>
                <c:pt idx="111" c:formatCode="yyyy\-mm">
                  <c:v>45383</c:v>
                </c:pt>
                <c:pt idx="112" c:formatCode="yyyy\-mm">
                  <c:v>45413</c:v>
                </c:pt>
                <c:pt idx="113" c:formatCode="yyyy\-mm">
                  <c:v>45444</c:v>
                </c:pt>
                <c:pt idx="114" c:formatCode="yyyy\-mm">
                  <c:v>45474</c:v>
                </c:pt>
                <c:pt idx="115" c:formatCode="yyyy\-mm">
                  <c:v>45505</c:v>
                </c:pt>
                <c:pt idx="116" c:formatCode="yyyy\-mm">
                  <c:v>45536</c:v>
                </c:pt>
                <c:pt idx="117" c:formatCode="yyyy\-mm">
                  <c:v>45566</c:v>
                </c:pt>
                <c:pt idx="118" c:formatCode="yyyy\-mm">
                  <c:v>45597</c:v>
                </c:pt>
                <c:pt idx="119" c:formatCode="yyyy\-mm">
                  <c:v>45627</c:v>
                </c:pt>
              </c:numCache>
            </c:numRef>
          </c:cat>
          <c:val>
            <c:numRef>
              <c:f>Suez_Canal!$B$3:$B$122</c:f>
              <c:numCache>
                <c:formatCode>#,##0.0\ "M"</c:formatCode>
                <c:ptCount val="120"/>
                <c:pt idx="0">
                  <c:v>456.9</c:v>
                </c:pt>
                <c:pt idx="1">
                  <c:v>434.5</c:v>
                </c:pt>
                <c:pt idx="2">
                  <c:v>425.5</c:v>
                </c:pt>
                <c:pt idx="3">
                  <c:v>430</c:v>
                </c:pt>
                <c:pt idx="4">
                  <c:v>443.4</c:v>
                </c:pt>
                <c:pt idx="5">
                  <c:v>452.4</c:v>
                </c:pt>
                <c:pt idx="6">
                  <c:v>456.9</c:v>
                </c:pt>
                <c:pt idx="7">
                  <c:v>461.4</c:v>
                </c:pt>
                <c:pt idx="8">
                  <c:v>456.9</c:v>
                </c:pt>
                <c:pt idx="9">
                  <c:v>452.4</c:v>
                </c:pt>
                <c:pt idx="10">
                  <c:v>452.4</c:v>
                </c:pt>
                <c:pt idx="11">
                  <c:v>452.3</c:v>
                </c:pt>
                <c:pt idx="12">
                  <c:v>416.2</c:v>
                </c:pt>
                <c:pt idx="13">
                  <c:v>395.8</c:v>
                </c:pt>
                <c:pt idx="14">
                  <c:v>387.7</c:v>
                </c:pt>
                <c:pt idx="15">
                  <c:v>391.8</c:v>
                </c:pt>
                <c:pt idx="16">
                  <c:v>404</c:v>
                </c:pt>
                <c:pt idx="17">
                  <c:v>412.2</c:v>
                </c:pt>
                <c:pt idx="18">
                  <c:v>416.2</c:v>
                </c:pt>
                <c:pt idx="19">
                  <c:v>420.3</c:v>
                </c:pt>
                <c:pt idx="20">
                  <c:v>416.2</c:v>
                </c:pt>
                <c:pt idx="21">
                  <c:v>412.2</c:v>
                </c:pt>
                <c:pt idx="22">
                  <c:v>412.2</c:v>
                </c:pt>
                <c:pt idx="23">
                  <c:v>412.2</c:v>
                </c:pt>
                <c:pt idx="24">
                  <c:v>427.2</c:v>
                </c:pt>
                <c:pt idx="25">
                  <c:v>406.3</c:v>
                </c:pt>
                <c:pt idx="26">
                  <c:v>397.9</c:v>
                </c:pt>
                <c:pt idx="27">
                  <c:v>402.1</c:v>
                </c:pt>
                <c:pt idx="28">
                  <c:v>414.6</c:v>
                </c:pt>
                <c:pt idx="29">
                  <c:v>423</c:v>
                </c:pt>
                <c:pt idx="30">
                  <c:v>427.2</c:v>
                </c:pt>
                <c:pt idx="31">
                  <c:v>431.4</c:v>
                </c:pt>
                <c:pt idx="32">
                  <c:v>427.2</c:v>
                </c:pt>
                <c:pt idx="33">
                  <c:v>423</c:v>
                </c:pt>
                <c:pt idx="34">
                  <c:v>423</c:v>
                </c:pt>
                <c:pt idx="35">
                  <c:v>423.1</c:v>
                </c:pt>
                <c:pt idx="36">
                  <c:v>474.7</c:v>
                </c:pt>
                <c:pt idx="37">
                  <c:v>451.5</c:v>
                </c:pt>
                <c:pt idx="38">
                  <c:v>442.1</c:v>
                </c:pt>
                <c:pt idx="39">
                  <c:v>446.8</c:v>
                </c:pt>
                <c:pt idx="40">
                  <c:v>460.8</c:v>
                </c:pt>
                <c:pt idx="41">
                  <c:v>470.1</c:v>
                </c:pt>
                <c:pt idx="42">
                  <c:v>474.7</c:v>
                </c:pt>
                <c:pt idx="43">
                  <c:v>479.4</c:v>
                </c:pt>
                <c:pt idx="44">
                  <c:v>474.7</c:v>
                </c:pt>
                <c:pt idx="45">
                  <c:v>470.1</c:v>
                </c:pt>
                <c:pt idx="46">
                  <c:v>470.1</c:v>
                </c:pt>
                <c:pt idx="47">
                  <c:v>470</c:v>
                </c:pt>
                <c:pt idx="48">
                  <c:v>493.3</c:v>
                </c:pt>
                <c:pt idx="49">
                  <c:v>469.2</c:v>
                </c:pt>
                <c:pt idx="50">
                  <c:v>459.5</c:v>
                </c:pt>
                <c:pt idx="51">
                  <c:v>464.3</c:v>
                </c:pt>
                <c:pt idx="52">
                  <c:v>478.8</c:v>
                </c:pt>
                <c:pt idx="53">
                  <c:v>488.5</c:v>
                </c:pt>
                <c:pt idx="54">
                  <c:v>493.3</c:v>
                </c:pt>
                <c:pt idx="55">
                  <c:v>498.2</c:v>
                </c:pt>
                <c:pt idx="56">
                  <c:v>493.3</c:v>
                </c:pt>
                <c:pt idx="57">
                  <c:v>488.5</c:v>
                </c:pt>
                <c:pt idx="58">
                  <c:v>488.5</c:v>
                </c:pt>
                <c:pt idx="59">
                  <c:v>488.6</c:v>
                </c:pt>
                <c:pt idx="60">
                  <c:v>476.5</c:v>
                </c:pt>
                <c:pt idx="61">
                  <c:v>453.2</c:v>
                </c:pt>
                <c:pt idx="62">
                  <c:v>443.8</c:v>
                </c:pt>
                <c:pt idx="63">
                  <c:v>448.5</c:v>
                </c:pt>
                <c:pt idx="64">
                  <c:v>462.5</c:v>
                </c:pt>
                <c:pt idx="65">
                  <c:v>471.8</c:v>
                </c:pt>
                <c:pt idx="66">
                  <c:v>476.5</c:v>
                </c:pt>
                <c:pt idx="67">
                  <c:v>481.2</c:v>
                </c:pt>
                <c:pt idx="68">
                  <c:v>476.5</c:v>
                </c:pt>
                <c:pt idx="69">
                  <c:v>471.8</c:v>
                </c:pt>
                <c:pt idx="70">
                  <c:v>471.8</c:v>
                </c:pt>
                <c:pt idx="71">
                  <c:v>471.9</c:v>
                </c:pt>
                <c:pt idx="72">
                  <c:v>530</c:v>
                </c:pt>
                <c:pt idx="73">
                  <c:v>504.1</c:v>
                </c:pt>
                <c:pt idx="74">
                  <c:v>387.8</c:v>
                </c:pt>
                <c:pt idx="75">
                  <c:v>562.3</c:v>
                </c:pt>
                <c:pt idx="76">
                  <c:v>555.8</c:v>
                </c:pt>
                <c:pt idx="77">
                  <c:v>536.5</c:v>
                </c:pt>
                <c:pt idx="78">
                  <c:v>549.4</c:v>
                </c:pt>
                <c:pt idx="79">
                  <c:v>555.8</c:v>
                </c:pt>
                <c:pt idx="80">
                  <c:v>549.4</c:v>
                </c:pt>
                <c:pt idx="81">
                  <c:v>542.9</c:v>
                </c:pt>
                <c:pt idx="82">
                  <c:v>536.5</c:v>
                </c:pt>
                <c:pt idx="83">
                  <c:v>523.5</c:v>
                </c:pt>
                <c:pt idx="84">
                  <c:v>674.4</c:v>
                </c:pt>
                <c:pt idx="85">
                  <c:v>641.3</c:v>
                </c:pt>
                <c:pt idx="86">
                  <c:v>628.1</c:v>
                </c:pt>
                <c:pt idx="87">
                  <c:v>634.7</c:v>
                </c:pt>
                <c:pt idx="88">
                  <c:v>654.6</c:v>
                </c:pt>
                <c:pt idx="89">
                  <c:v>667.8</c:v>
                </c:pt>
                <c:pt idx="90">
                  <c:v>674.4</c:v>
                </c:pt>
                <c:pt idx="91">
                  <c:v>681</c:v>
                </c:pt>
                <c:pt idx="92">
                  <c:v>674.4</c:v>
                </c:pt>
                <c:pt idx="93">
                  <c:v>667.8</c:v>
                </c:pt>
                <c:pt idx="94">
                  <c:v>667.8</c:v>
                </c:pt>
                <c:pt idx="95">
                  <c:v>667.7</c:v>
                </c:pt>
                <c:pt idx="96">
                  <c:v>871.2</c:v>
                </c:pt>
                <c:pt idx="97">
                  <c:v>828.5</c:v>
                </c:pt>
                <c:pt idx="98">
                  <c:v>811.5</c:v>
                </c:pt>
                <c:pt idx="99">
                  <c:v>820</c:v>
                </c:pt>
                <c:pt idx="100">
                  <c:v>845.6</c:v>
                </c:pt>
                <c:pt idx="101">
                  <c:v>862.7</c:v>
                </c:pt>
                <c:pt idx="102">
                  <c:v>871.2</c:v>
                </c:pt>
                <c:pt idx="103">
                  <c:v>879.8</c:v>
                </c:pt>
                <c:pt idx="104">
                  <c:v>871.2</c:v>
                </c:pt>
                <c:pt idx="105">
                  <c:v>862.7</c:v>
                </c:pt>
                <c:pt idx="106">
                  <c:v>862.7</c:v>
                </c:pt>
                <c:pt idx="107">
                  <c:v>862.9</c:v>
                </c:pt>
                <c:pt idx="108">
                  <c:v>359.2</c:v>
                </c:pt>
                <c:pt idx="109">
                  <c:v>339.2</c:v>
                </c:pt>
                <c:pt idx="110">
                  <c:v>311.3</c:v>
                </c:pt>
                <c:pt idx="111">
                  <c:v>287.4</c:v>
                </c:pt>
                <c:pt idx="112">
                  <c:v>271.4</c:v>
                </c:pt>
                <c:pt idx="113">
                  <c:v>259.4</c:v>
                </c:pt>
                <c:pt idx="114">
                  <c:v>319.3</c:v>
                </c:pt>
                <c:pt idx="115">
                  <c:v>351.2</c:v>
                </c:pt>
                <c:pt idx="116">
                  <c:v>367.2</c:v>
                </c:pt>
                <c:pt idx="117">
                  <c:v>379.1</c:v>
                </c:pt>
                <c:pt idx="118">
                  <c:v>371.2</c:v>
                </c:pt>
                <c:pt idx="119">
                  <c:v>375.1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04115776"/>
        <c:axId val="804113976"/>
      </c:lineChart>
      <c:dateAx>
        <c:axId val="804115776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4113976"/>
        <c:crosses val="autoZero"/>
        <c:auto val="1"/>
        <c:lblOffset val="100"/>
        <c:baseTimeUnit val="months"/>
      </c:dateAx>
      <c:valAx>
        <c:axId val="80411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10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411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766ae48-0c95-453e-b3a5-fe07b0e2cd65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>
          <a:alpha val="92000"/>
        </a:schemeClr>
      </a:solidFill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cap="all" spc="100" normalizeH="0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rgbClr val="C9A84C"/>
                </a:solidFill>
              </a:rPr>
              <a:t>USD/EGP Exchange Rate · </a:t>
            </a:r>
            <a:r>
              <a:rPr lang="ar-EG" sz="1200">
                <a:solidFill>
                  <a:srgbClr val="C9A84C"/>
                </a:solidFill>
              </a:rPr>
              <a:t>4</a:t>
            </a:r>
            <a:r>
              <a:rPr lang="en-US" sz="1200">
                <a:solidFill>
                  <a:srgbClr val="C9A84C"/>
                </a:solidFill>
              </a:rPr>
              <a:t> Devaluations</a:t>
            </a:r>
            <a:endParaRPr lang="en-US" sz="1200">
              <a:solidFill>
                <a:srgbClr val="C9A84C"/>
              </a:solidFill>
            </a:endParaRPr>
          </a:p>
        </c:rich>
      </c:tx>
      <c:layout/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Macro_Indicators!$B$2</c:f>
              <c:strCache>
                <c:ptCount val="1"/>
                <c:pt idx="0">
                  <c:v>USD/EGP
Exchange Rate</c:v>
                </c:pt>
              </c:strCache>
            </c:strRef>
          </c:tx>
          <c:spPr>
            <a:ln w="34925" cap="rnd">
              <a:solidFill>
                <a:srgbClr val="C9A84C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layout>
                <c:manualLayout>
                  <c:x val="-0.0339429391820498"/>
                  <c:y val="-0.074074074074074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900" b="1" i="0" u="none" strike="noStrike" kern="1200" baseline="0">
                      <a:solidFill>
                        <a:srgbClr val="5DCAA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layout>
                <c:manualLayout>
                  <c:x val="-0.0386247238968155"/>
                  <c:y val="-0.074074074074074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900" b="1" i="0" u="none" strike="noStrike" kern="1200" baseline="0">
                      <a:solidFill>
                        <a:srgbClr val="5DCAA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layout>
                <c:manualLayout>
                  <c:x val="-0.0292611544672843"/>
                  <c:y val="-0.074074074074074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900" b="1" i="0" u="none" strike="noStrike" kern="1200" baseline="0">
                      <a:solidFill>
                        <a:srgbClr val="5DCAA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layout>
                <c:manualLayout>
                  <c:x val="-0.050329185683729"/>
                  <c:y val="-0.0416666666666666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rgbClr val="5DCAA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Macro_Indicators!$A$3:$A$122</c:f>
              <c:numCache>
                <c:formatCode>yyyy\-mm</c:formatCode>
                <c:ptCount val="120"/>
                <c:pt idx="0" c:formatCode="yyyy\-mm">
                  <c:v>42005</c:v>
                </c:pt>
                <c:pt idx="1" c:formatCode="yyyy\-mm">
                  <c:v>42036</c:v>
                </c:pt>
                <c:pt idx="2" c:formatCode="yyyy\-mm">
                  <c:v>42064</c:v>
                </c:pt>
                <c:pt idx="3" c:formatCode="yyyy\-mm">
                  <c:v>42095</c:v>
                </c:pt>
                <c:pt idx="4" c:formatCode="yyyy\-mm">
                  <c:v>42125</c:v>
                </c:pt>
                <c:pt idx="5" c:formatCode="yyyy\-mm">
                  <c:v>42156</c:v>
                </c:pt>
                <c:pt idx="6" c:formatCode="yyyy\-mm">
                  <c:v>42186</c:v>
                </c:pt>
                <c:pt idx="7" c:formatCode="yyyy\-mm">
                  <c:v>42217</c:v>
                </c:pt>
                <c:pt idx="8" c:formatCode="yyyy\-mm">
                  <c:v>42248</c:v>
                </c:pt>
                <c:pt idx="9" c:formatCode="yyyy\-mm">
                  <c:v>42278</c:v>
                </c:pt>
                <c:pt idx="10" c:formatCode="yyyy\-mm">
                  <c:v>42309</c:v>
                </c:pt>
                <c:pt idx="11" c:formatCode="yyyy\-mm">
                  <c:v>42339</c:v>
                </c:pt>
                <c:pt idx="12" c:formatCode="yyyy\-mm">
                  <c:v>42370</c:v>
                </c:pt>
                <c:pt idx="13" c:formatCode="yyyy\-mm">
                  <c:v>42401</c:v>
                </c:pt>
                <c:pt idx="14" c:formatCode="yyyy\-mm">
                  <c:v>42430</c:v>
                </c:pt>
                <c:pt idx="15" c:formatCode="yyyy\-mm">
                  <c:v>42461</c:v>
                </c:pt>
                <c:pt idx="16" c:formatCode="yyyy\-mm">
                  <c:v>42491</c:v>
                </c:pt>
                <c:pt idx="17" c:formatCode="yyyy\-mm">
                  <c:v>42522</c:v>
                </c:pt>
                <c:pt idx="18" c:formatCode="yyyy\-mm">
                  <c:v>42552</c:v>
                </c:pt>
                <c:pt idx="19" c:formatCode="yyyy\-mm">
                  <c:v>42583</c:v>
                </c:pt>
                <c:pt idx="20" c:formatCode="yyyy\-mm">
                  <c:v>42614</c:v>
                </c:pt>
                <c:pt idx="21" c:formatCode="yyyy\-mm">
                  <c:v>42644</c:v>
                </c:pt>
                <c:pt idx="22" c:formatCode="yyyy\-mm">
                  <c:v>42675</c:v>
                </c:pt>
                <c:pt idx="23" c:formatCode="yyyy\-mm">
                  <c:v>42705</c:v>
                </c:pt>
                <c:pt idx="24" c:formatCode="yyyy\-mm">
                  <c:v>42736</c:v>
                </c:pt>
                <c:pt idx="25" c:formatCode="yyyy\-mm">
                  <c:v>42767</c:v>
                </c:pt>
                <c:pt idx="26" c:formatCode="yyyy\-mm">
                  <c:v>42795</c:v>
                </c:pt>
                <c:pt idx="27" c:formatCode="yyyy\-mm">
                  <c:v>42826</c:v>
                </c:pt>
                <c:pt idx="28" c:formatCode="yyyy\-mm">
                  <c:v>42856</c:v>
                </c:pt>
                <c:pt idx="29" c:formatCode="yyyy\-mm">
                  <c:v>42887</c:v>
                </c:pt>
                <c:pt idx="30" c:formatCode="yyyy\-mm">
                  <c:v>42917</c:v>
                </c:pt>
                <c:pt idx="31" c:formatCode="yyyy\-mm">
                  <c:v>42948</c:v>
                </c:pt>
                <c:pt idx="32" c:formatCode="yyyy\-mm">
                  <c:v>42979</c:v>
                </c:pt>
                <c:pt idx="33" c:formatCode="yyyy\-mm">
                  <c:v>43009</c:v>
                </c:pt>
                <c:pt idx="34" c:formatCode="yyyy\-mm">
                  <c:v>43040</c:v>
                </c:pt>
                <c:pt idx="35" c:formatCode="yyyy\-mm">
                  <c:v>43070</c:v>
                </c:pt>
                <c:pt idx="36" c:formatCode="yyyy\-mm">
                  <c:v>43101</c:v>
                </c:pt>
                <c:pt idx="37" c:formatCode="yyyy\-mm">
                  <c:v>43132</c:v>
                </c:pt>
                <c:pt idx="38" c:formatCode="yyyy\-mm">
                  <c:v>43160</c:v>
                </c:pt>
                <c:pt idx="39" c:formatCode="yyyy\-mm">
                  <c:v>43191</c:v>
                </c:pt>
                <c:pt idx="40" c:formatCode="yyyy\-mm">
                  <c:v>43221</c:v>
                </c:pt>
                <c:pt idx="41" c:formatCode="yyyy\-mm">
                  <c:v>43252</c:v>
                </c:pt>
                <c:pt idx="42" c:formatCode="yyyy\-mm">
                  <c:v>43282</c:v>
                </c:pt>
                <c:pt idx="43" c:formatCode="yyyy\-mm">
                  <c:v>43313</c:v>
                </c:pt>
                <c:pt idx="44" c:formatCode="yyyy\-mm">
                  <c:v>43344</c:v>
                </c:pt>
                <c:pt idx="45" c:formatCode="yyyy\-mm">
                  <c:v>43374</c:v>
                </c:pt>
                <c:pt idx="46" c:formatCode="yyyy\-mm">
                  <c:v>43405</c:v>
                </c:pt>
                <c:pt idx="47" c:formatCode="yyyy\-mm">
                  <c:v>43435</c:v>
                </c:pt>
                <c:pt idx="48" c:formatCode="yyyy\-mm">
                  <c:v>43466</c:v>
                </c:pt>
                <c:pt idx="49" c:formatCode="yyyy\-mm">
                  <c:v>43497</c:v>
                </c:pt>
                <c:pt idx="50" c:formatCode="yyyy\-mm">
                  <c:v>43525</c:v>
                </c:pt>
                <c:pt idx="51" c:formatCode="yyyy\-mm">
                  <c:v>43556</c:v>
                </c:pt>
                <c:pt idx="52" c:formatCode="yyyy\-mm">
                  <c:v>43586</c:v>
                </c:pt>
                <c:pt idx="53" c:formatCode="yyyy\-mm">
                  <c:v>43617</c:v>
                </c:pt>
                <c:pt idx="54" c:formatCode="yyyy\-mm">
                  <c:v>43647</c:v>
                </c:pt>
                <c:pt idx="55" c:formatCode="yyyy\-mm">
                  <c:v>43678</c:v>
                </c:pt>
                <c:pt idx="56" c:formatCode="yyyy\-mm">
                  <c:v>43709</c:v>
                </c:pt>
                <c:pt idx="57" c:formatCode="yyyy\-mm">
                  <c:v>43739</c:v>
                </c:pt>
                <c:pt idx="58" c:formatCode="yyyy\-mm">
                  <c:v>43770</c:v>
                </c:pt>
                <c:pt idx="59" c:formatCode="yyyy\-mm">
                  <c:v>43800</c:v>
                </c:pt>
                <c:pt idx="60" c:formatCode="yyyy\-mm">
                  <c:v>43831</c:v>
                </c:pt>
                <c:pt idx="61" c:formatCode="yyyy\-mm">
                  <c:v>43862</c:v>
                </c:pt>
                <c:pt idx="62" c:formatCode="yyyy\-mm">
                  <c:v>43891</c:v>
                </c:pt>
                <c:pt idx="63" c:formatCode="yyyy\-mm">
                  <c:v>43922</c:v>
                </c:pt>
                <c:pt idx="64" c:formatCode="yyyy\-mm">
                  <c:v>43952</c:v>
                </c:pt>
                <c:pt idx="65" c:formatCode="yyyy\-mm">
                  <c:v>43983</c:v>
                </c:pt>
                <c:pt idx="66" c:formatCode="yyyy\-mm">
                  <c:v>44013</c:v>
                </c:pt>
                <c:pt idx="67" c:formatCode="yyyy\-mm">
                  <c:v>44044</c:v>
                </c:pt>
                <c:pt idx="68" c:formatCode="yyyy\-mm">
                  <c:v>44075</c:v>
                </c:pt>
                <c:pt idx="69" c:formatCode="yyyy\-mm">
                  <c:v>44105</c:v>
                </c:pt>
                <c:pt idx="70" c:formatCode="yyyy\-mm">
                  <c:v>44136</c:v>
                </c:pt>
                <c:pt idx="71" c:formatCode="yyyy\-mm">
                  <c:v>44166</c:v>
                </c:pt>
                <c:pt idx="72" c:formatCode="yyyy\-mm">
                  <c:v>44197</c:v>
                </c:pt>
                <c:pt idx="73" c:formatCode="yyyy\-mm">
                  <c:v>44228</c:v>
                </c:pt>
                <c:pt idx="74" c:formatCode="yyyy\-mm">
                  <c:v>44256</c:v>
                </c:pt>
                <c:pt idx="75" c:formatCode="yyyy\-mm">
                  <c:v>44287</c:v>
                </c:pt>
                <c:pt idx="76" c:formatCode="yyyy\-mm">
                  <c:v>44317</c:v>
                </c:pt>
                <c:pt idx="77" c:formatCode="yyyy\-mm">
                  <c:v>44348</c:v>
                </c:pt>
                <c:pt idx="78" c:formatCode="yyyy\-mm">
                  <c:v>44378</c:v>
                </c:pt>
                <c:pt idx="79" c:formatCode="yyyy\-mm">
                  <c:v>44409</c:v>
                </c:pt>
                <c:pt idx="80" c:formatCode="yyyy\-mm">
                  <c:v>44440</c:v>
                </c:pt>
                <c:pt idx="81" c:formatCode="yyyy\-mm">
                  <c:v>44470</c:v>
                </c:pt>
                <c:pt idx="82" c:formatCode="yyyy\-mm">
                  <c:v>44501</c:v>
                </c:pt>
                <c:pt idx="83" c:formatCode="yyyy\-mm">
                  <c:v>44531</c:v>
                </c:pt>
                <c:pt idx="84" c:formatCode="yyyy\-mm">
                  <c:v>44562</c:v>
                </c:pt>
                <c:pt idx="85" c:formatCode="yyyy\-mm">
                  <c:v>44593</c:v>
                </c:pt>
                <c:pt idx="86" c:formatCode="yyyy\-mm">
                  <c:v>44621</c:v>
                </c:pt>
                <c:pt idx="87" c:formatCode="yyyy\-mm">
                  <c:v>44652</c:v>
                </c:pt>
                <c:pt idx="88" c:formatCode="yyyy\-mm">
                  <c:v>44682</c:v>
                </c:pt>
                <c:pt idx="89" c:formatCode="yyyy\-mm">
                  <c:v>44713</c:v>
                </c:pt>
                <c:pt idx="90" c:formatCode="yyyy\-mm">
                  <c:v>44743</c:v>
                </c:pt>
                <c:pt idx="91" c:formatCode="yyyy\-mm">
                  <c:v>44774</c:v>
                </c:pt>
                <c:pt idx="92" c:formatCode="yyyy\-mm">
                  <c:v>44805</c:v>
                </c:pt>
                <c:pt idx="93" c:formatCode="yyyy\-mm">
                  <c:v>44835</c:v>
                </c:pt>
                <c:pt idx="94" c:formatCode="yyyy\-mm">
                  <c:v>44866</c:v>
                </c:pt>
                <c:pt idx="95" c:formatCode="yyyy\-mm">
                  <c:v>44896</c:v>
                </c:pt>
                <c:pt idx="96" c:formatCode="yyyy\-mm">
                  <c:v>44927</c:v>
                </c:pt>
                <c:pt idx="97" c:formatCode="yyyy\-mm">
                  <c:v>44958</c:v>
                </c:pt>
                <c:pt idx="98" c:formatCode="yyyy\-mm">
                  <c:v>44986</c:v>
                </c:pt>
                <c:pt idx="99" c:formatCode="yyyy\-mm">
                  <c:v>45017</c:v>
                </c:pt>
                <c:pt idx="100" c:formatCode="yyyy\-mm">
                  <c:v>45047</c:v>
                </c:pt>
                <c:pt idx="101" c:formatCode="yyyy\-mm">
                  <c:v>45078</c:v>
                </c:pt>
                <c:pt idx="102" c:formatCode="yyyy\-mm">
                  <c:v>45108</c:v>
                </c:pt>
                <c:pt idx="103" c:formatCode="yyyy\-mm">
                  <c:v>45139</c:v>
                </c:pt>
                <c:pt idx="104" c:formatCode="yyyy\-mm">
                  <c:v>45170</c:v>
                </c:pt>
                <c:pt idx="105" c:formatCode="yyyy\-mm">
                  <c:v>45200</c:v>
                </c:pt>
                <c:pt idx="106" c:formatCode="yyyy\-mm">
                  <c:v>45231</c:v>
                </c:pt>
                <c:pt idx="107" c:formatCode="yyyy\-mm">
                  <c:v>45261</c:v>
                </c:pt>
                <c:pt idx="108" c:formatCode="yyyy\-mm">
                  <c:v>45292</c:v>
                </c:pt>
                <c:pt idx="109" c:formatCode="yyyy\-mm">
                  <c:v>45323</c:v>
                </c:pt>
                <c:pt idx="110" c:formatCode="yyyy\-mm">
                  <c:v>45352</c:v>
                </c:pt>
                <c:pt idx="111" c:formatCode="yyyy\-mm">
                  <c:v>45383</c:v>
                </c:pt>
                <c:pt idx="112" c:formatCode="yyyy\-mm">
                  <c:v>45413</c:v>
                </c:pt>
                <c:pt idx="113" c:formatCode="yyyy\-mm">
                  <c:v>45444</c:v>
                </c:pt>
                <c:pt idx="114" c:formatCode="yyyy\-mm">
                  <c:v>45474</c:v>
                </c:pt>
                <c:pt idx="115" c:formatCode="yyyy\-mm">
                  <c:v>45505</c:v>
                </c:pt>
                <c:pt idx="116" c:formatCode="yyyy\-mm">
                  <c:v>45536</c:v>
                </c:pt>
                <c:pt idx="117" c:formatCode="yyyy\-mm">
                  <c:v>45566</c:v>
                </c:pt>
                <c:pt idx="118" c:formatCode="yyyy\-mm">
                  <c:v>45597</c:v>
                </c:pt>
                <c:pt idx="119" c:formatCode="yyyy\-mm">
                  <c:v>45627</c:v>
                </c:pt>
              </c:numCache>
            </c:numRef>
          </c:cat>
          <c:val>
            <c:numRef>
              <c:f>Macro_Indicators!$B$3:$B$122</c:f>
              <c:numCache>
                <c:formatCode>#,##0.00</c:formatCode>
                <c:ptCount val="120"/>
                <c:pt idx="0">
                  <c:v>7.63</c:v>
                </c:pt>
                <c:pt idx="1">
                  <c:v>7.63</c:v>
                </c:pt>
                <c:pt idx="2">
                  <c:v>7.62</c:v>
                </c:pt>
                <c:pt idx="3">
                  <c:v>7.62</c:v>
                </c:pt>
                <c:pt idx="4">
                  <c:v>7.62</c:v>
                </c:pt>
                <c:pt idx="5">
                  <c:v>7.62</c:v>
                </c:pt>
                <c:pt idx="6">
                  <c:v>7.83</c:v>
                </c:pt>
                <c:pt idx="7">
                  <c:v>7.83</c:v>
                </c:pt>
                <c:pt idx="8">
                  <c:v>7.88</c:v>
                </c:pt>
                <c:pt idx="9">
                  <c:v>7.91</c:v>
                </c:pt>
                <c:pt idx="10">
                  <c:v>7.93</c:v>
                </c:pt>
                <c:pt idx="11">
                  <c:v>7.83</c:v>
                </c:pt>
                <c:pt idx="12">
                  <c:v>7.83</c:v>
                </c:pt>
                <c:pt idx="13">
                  <c:v>8.03</c:v>
                </c:pt>
                <c:pt idx="14">
                  <c:v>8.88</c:v>
                </c:pt>
                <c:pt idx="15">
                  <c:v>8.88</c:v>
                </c:pt>
                <c:pt idx="16">
                  <c:v>8.88</c:v>
                </c:pt>
                <c:pt idx="17">
                  <c:v>8.88</c:v>
                </c:pt>
                <c:pt idx="18">
                  <c:v>8.88</c:v>
                </c:pt>
                <c:pt idx="19">
                  <c:v>8.88</c:v>
                </c:pt>
                <c:pt idx="20">
                  <c:v>8.88</c:v>
                </c:pt>
                <c:pt idx="21">
                  <c:v>8.88</c:v>
                </c:pt>
                <c:pt idx="22">
                  <c:v>17.7</c:v>
                </c:pt>
                <c:pt idx="23">
                  <c:v>18.07</c:v>
                </c:pt>
                <c:pt idx="24">
                  <c:v>18.1</c:v>
                </c:pt>
                <c:pt idx="25">
                  <c:v>18.1</c:v>
                </c:pt>
                <c:pt idx="26">
                  <c:v>18.09</c:v>
                </c:pt>
                <c:pt idx="27">
                  <c:v>18.05</c:v>
                </c:pt>
                <c:pt idx="28">
                  <c:v>18.03</c:v>
                </c:pt>
                <c:pt idx="29">
                  <c:v>18.02</c:v>
                </c:pt>
                <c:pt idx="30">
                  <c:v>17.9</c:v>
                </c:pt>
                <c:pt idx="31">
                  <c:v>17.8</c:v>
                </c:pt>
                <c:pt idx="32">
                  <c:v>17.72</c:v>
                </c:pt>
                <c:pt idx="33">
                  <c:v>17.65</c:v>
                </c:pt>
                <c:pt idx="34">
                  <c:v>17.6</c:v>
                </c:pt>
                <c:pt idx="35">
                  <c:v>17.56</c:v>
                </c:pt>
                <c:pt idx="36">
                  <c:v>17.52</c:v>
                </c:pt>
                <c:pt idx="37">
                  <c:v>17.52</c:v>
                </c:pt>
                <c:pt idx="38">
                  <c:v>17.52</c:v>
                </c:pt>
                <c:pt idx="39">
                  <c:v>17.52</c:v>
                </c:pt>
                <c:pt idx="40">
                  <c:v>17.85</c:v>
                </c:pt>
                <c:pt idx="41">
                  <c:v>17.87</c:v>
                </c:pt>
                <c:pt idx="42">
                  <c:v>17.87</c:v>
                </c:pt>
                <c:pt idx="43">
                  <c:v>17.92</c:v>
                </c:pt>
                <c:pt idx="44">
                  <c:v>17.92</c:v>
                </c:pt>
                <c:pt idx="45">
                  <c:v>17.92</c:v>
                </c:pt>
                <c:pt idx="46">
                  <c:v>17.89</c:v>
                </c:pt>
                <c:pt idx="47">
                  <c:v>17.87</c:v>
                </c:pt>
                <c:pt idx="48">
                  <c:v>17.85</c:v>
                </c:pt>
                <c:pt idx="49">
                  <c:v>17.82</c:v>
                </c:pt>
                <c:pt idx="50">
                  <c:v>17.48</c:v>
                </c:pt>
                <c:pt idx="51">
                  <c:v>17.25</c:v>
                </c:pt>
                <c:pt idx="52">
                  <c:v>17.1</c:v>
                </c:pt>
                <c:pt idx="53">
                  <c:v>16.97</c:v>
                </c:pt>
                <c:pt idx="54">
                  <c:v>16.87</c:v>
                </c:pt>
                <c:pt idx="55">
                  <c:v>16.77</c:v>
                </c:pt>
                <c:pt idx="56">
                  <c:v>16.4</c:v>
                </c:pt>
                <c:pt idx="57">
                  <c:v>16.35</c:v>
                </c:pt>
                <c:pt idx="58">
                  <c:v>16.22</c:v>
                </c:pt>
                <c:pt idx="59">
                  <c:v>16.1</c:v>
                </c:pt>
                <c:pt idx="60">
                  <c:v>16.07</c:v>
                </c:pt>
                <c:pt idx="61">
                  <c:v>15.73</c:v>
                </c:pt>
                <c:pt idx="62">
                  <c:v>15.73</c:v>
                </c:pt>
                <c:pt idx="63">
                  <c:v>16</c:v>
                </c:pt>
                <c:pt idx="64">
                  <c:v>16.04</c:v>
                </c:pt>
                <c:pt idx="65">
                  <c:v>16.08</c:v>
                </c:pt>
                <c:pt idx="66">
                  <c:v>16.14</c:v>
                </c:pt>
                <c:pt idx="67">
                  <c:v>16.17</c:v>
                </c:pt>
                <c:pt idx="68">
                  <c:v>16.19</c:v>
                </c:pt>
                <c:pt idx="69">
                  <c:v>16.19</c:v>
                </c:pt>
                <c:pt idx="70">
                  <c:v>15.75</c:v>
                </c:pt>
                <c:pt idx="71">
                  <c:v>15.69</c:v>
                </c:pt>
                <c:pt idx="72">
                  <c:v>15.63</c:v>
                </c:pt>
                <c:pt idx="73">
                  <c:v>15.62</c:v>
                </c:pt>
                <c:pt idx="74">
                  <c:v>15.6</c:v>
                </c:pt>
                <c:pt idx="75">
                  <c:v>15.6</c:v>
                </c:pt>
                <c:pt idx="76">
                  <c:v>15.66</c:v>
                </c:pt>
                <c:pt idx="77">
                  <c:v>15.65</c:v>
                </c:pt>
                <c:pt idx="78">
                  <c:v>15.63</c:v>
                </c:pt>
                <c:pt idx="79">
                  <c:v>15.71</c:v>
                </c:pt>
                <c:pt idx="80">
                  <c:v>15.66</c:v>
                </c:pt>
                <c:pt idx="81">
                  <c:v>15.65</c:v>
                </c:pt>
                <c:pt idx="82">
                  <c:v>15.67</c:v>
                </c:pt>
                <c:pt idx="83">
                  <c:v>15.73</c:v>
                </c:pt>
                <c:pt idx="84">
                  <c:v>15.73</c:v>
                </c:pt>
                <c:pt idx="85">
                  <c:v>15.73</c:v>
                </c:pt>
                <c:pt idx="86">
                  <c:v>18.2</c:v>
                </c:pt>
                <c:pt idx="87">
                  <c:v>18.27</c:v>
                </c:pt>
                <c:pt idx="88">
                  <c:v>18.27</c:v>
                </c:pt>
                <c:pt idx="89">
                  <c:v>18.66</c:v>
                </c:pt>
                <c:pt idx="90">
                  <c:v>18.87</c:v>
                </c:pt>
                <c:pt idx="91">
                  <c:v>19.1</c:v>
                </c:pt>
                <c:pt idx="92">
                  <c:v>19.63</c:v>
                </c:pt>
                <c:pt idx="93">
                  <c:v>19.82</c:v>
                </c:pt>
                <c:pt idx="94">
                  <c:v>24.64</c:v>
                </c:pt>
                <c:pt idx="95">
                  <c:v>24.7</c:v>
                </c:pt>
                <c:pt idx="96">
                  <c:v>29.53</c:v>
                </c:pt>
                <c:pt idx="97">
                  <c:v>30.5</c:v>
                </c:pt>
                <c:pt idx="98">
                  <c:v>30.86</c:v>
                </c:pt>
                <c:pt idx="99">
                  <c:v>30.9</c:v>
                </c:pt>
                <c:pt idx="100">
                  <c:v>30.9</c:v>
                </c:pt>
                <c:pt idx="101">
                  <c:v>30.9</c:v>
                </c:pt>
                <c:pt idx="102">
                  <c:v>30.9</c:v>
                </c:pt>
                <c:pt idx="103">
                  <c:v>30.9</c:v>
                </c:pt>
                <c:pt idx="104">
                  <c:v>30.9</c:v>
                </c:pt>
                <c:pt idx="105">
                  <c:v>30.9</c:v>
                </c:pt>
                <c:pt idx="106">
                  <c:v>30.9</c:v>
                </c:pt>
                <c:pt idx="107">
                  <c:v>30.9</c:v>
                </c:pt>
                <c:pt idx="108">
                  <c:v>30.9</c:v>
                </c:pt>
                <c:pt idx="109">
                  <c:v>30.9</c:v>
                </c:pt>
                <c:pt idx="110">
                  <c:v>49.8</c:v>
                </c:pt>
                <c:pt idx="111">
                  <c:v>48.6</c:v>
                </c:pt>
                <c:pt idx="112">
                  <c:v>47.9</c:v>
                </c:pt>
                <c:pt idx="113">
                  <c:v>47.8</c:v>
                </c:pt>
                <c:pt idx="114">
                  <c:v>47.5</c:v>
                </c:pt>
                <c:pt idx="115">
                  <c:v>48</c:v>
                </c:pt>
                <c:pt idx="116">
                  <c:v>48.2</c:v>
                </c:pt>
                <c:pt idx="117">
                  <c:v>48.5</c:v>
                </c:pt>
                <c:pt idx="118">
                  <c:v>49.3</c:v>
                </c:pt>
                <c:pt idx="119">
                  <c:v>49.7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C9A84C"/>
              </a:solidFill>
              <a:round/>
            </a:ln>
            <a:effectLst/>
          </c:spPr>
        </c:dropLines>
        <c:marker val="0"/>
        <c:smooth val="0"/>
        <c:axId val="811273944"/>
        <c:axId val="811274304"/>
      </c:lineChart>
      <c:dateAx>
        <c:axId val="811273944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811274304"/>
        <c:crosses val="autoZero"/>
        <c:auto val="1"/>
        <c:lblOffset val="100"/>
        <c:baseTimeUnit val="months"/>
      </c:dateAx>
      <c:valAx>
        <c:axId val="811274304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811273944"/>
        <c:crosses val="autoZero"/>
        <c:crossBetween val="between"/>
      </c:valAx>
      <c:spPr>
        <a:solidFill>
          <a:schemeClr val="tx1">
            <a:lumMod val="75000"/>
            <a:lumOff val="25000"/>
            <a:alpha val="10000"/>
          </a:schemeClr>
        </a:solidFill>
        <a:ln>
          <a:solidFill>
            <a:schemeClr val="bg1">
              <a:alpha val="10000"/>
            </a:schemeClr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b628c48-497b-4d65-921d-5c4d01c8ea28}"/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cap="none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rgbClr val="C9A84C"/>
                </a:solidFill>
              </a:rPr>
              <a:t>Egypt Foreign Trade Overview (2015–2024)</a:t>
            </a:r>
            <a:endParaRPr lang="en-US" sz="1200">
              <a:solidFill>
                <a:srgbClr val="C9A84C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'Trade Pivot'!$C$19</c:f>
              <c:strCache>
                <c:ptCount val="1"/>
                <c:pt idx="0">
                  <c:v>Sum of Exports
(USD M)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'Trade Pivot'!$B$20:$B$29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'Trade Pivot'!$C$20:$C$29</c:f>
              <c:numCache>
                <c:formatCode>#,##0.0\ "M"</c:formatCode>
                <c:ptCount val="10"/>
                <c:pt idx="0">
                  <c:v>18300</c:v>
                </c:pt>
                <c:pt idx="1">
                  <c:v>16300</c:v>
                </c:pt>
                <c:pt idx="2">
                  <c:v>22400</c:v>
                </c:pt>
                <c:pt idx="3">
                  <c:v>26900</c:v>
                </c:pt>
                <c:pt idx="4">
                  <c:v>26800</c:v>
                </c:pt>
                <c:pt idx="5">
                  <c:v>22400</c:v>
                </c:pt>
                <c:pt idx="6">
                  <c:v>32600</c:v>
                </c:pt>
                <c:pt idx="7">
                  <c:v>51900</c:v>
                </c:pt>
                <c:pt idx="8">
                  <c:v>42600</c:v>
                </c:pt>
                <c:pt idx="9">
                  <c:v>45300</c:v>
                </c:pt>
              </c:numCache>
            </c:numRef>
          </c:val>
        </c:ser>
        <c:ser>
          <c:idx val="1"/>
          <c:order val="1"/>
          <c:tx>
            <c:strRef>
              <c:f>'Trade Pivot'!$D$19</c:f>
              <c:strCache>
                <c:ptCount val="1"/>
                <c:pt idx="0">
                  <c:v>Sum of Imports
(USD M)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'Trade Pivot'!$B$20:$B$29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'Trade Pivot'!$D$20:$D$29</c:f>
              <c:numCache>
                <c:formatCode>#,##0.0\ "M"</c:formatCode>
                <c:ptCount val="10"/>
                <c:pt idx="0">
                  <c:v>65700</c:v>
                </c:pt>
                <c:pt idx="1">
                  <c:v>56700</c:v>
                </c:pt>
                <c:pt idx="2">
                  <c:v>61200</c:v>
                </c:pt>
                <c:pt idx="3">
                  <c:v>68200</c:v>
                </c:pt>
                <c:pt idx="4">
                  <c:v>65900</c:v>
                </c:pt>
                <c:pt idx="5">
                  <c:v>56600</c:v>
                </c:pt>
                <c:pt idx="6">
                  <c:v>71000</c:v>
                </c:pt>
                <c:pt idx="7">
                  <c:v>89300</c:v>
                </c:pt>
                <c:pt idx="8">
                  <c:v>84200</c:v>
                </c:pt>
                <c:pt idx="9">
                  <c:v>95300</c:v>
                </c:pt>
              </c:numCache>
            </c:numRef>
          </c:val>
        </c:ser>
        <c:ser>
          <c:idx val="2"/>
          <c:order val="2"/>
          <c:tx>
            <c:strRef>
              <c:f>'Trade Pivot'!$E$19</c:f>
              <c:strCache>
                <c:ptCount val="1"/>
                <c:pt idx="0">
                  <c:v>Sum of Trade Balance
(USD M)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'Trade Pivot'!$B$20:$B$29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'Trade Pivot'!$E$20:$E$29</c:f>
              <c:numCache>
                <c:formatCode>#,##0.0\ "M"</c:formatCode>
                <c:ptCount val="10"/>
                <c:pt idx="0">
                  <c:v>-47400</c:v>
                </c:pt>
                <c:pt idx="1">
                  <c:v>-40400</c:v>
                </c:pt>
                <c:pt idx="2">
                  <c:v>-38800</c:v>
                </c:pt>
                <c:pt idx="3">
                  <c:v>-41300</c:v>
                </c:pt>
                <c:pt idx="4">
                  <c:v>-39100</c:v>
                </c:pt>
                <c:pt idx="5">
                  <c:v>-34200</c:v>
                </c:pt>
                <c:pt idx="6">
                  <c:v>-38400</c:v>
                </c:pt>
                <c:pt idx="7">
                  <c:v>-37400</c:v>
                </c:pt>
                <c:pt idx="8">
                  <c:v>-41600</c:v>
                </c:pt>
                <c:pt idx="9">
                  <c:v>-50000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35010040"/>
        <c:axId val="735014720"/>
      </c:barChart>
      <c:catAx>
        <c:axId val="7350100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5014720"/>
        <c:crosses val="autoZero"/>
        <c:auto val="1"/>
        <c:lblAlgn val="ctr"/>
        <c:lblOffset val="100"/>
        <c:noMultiLvlLbl val="0"/>
      </c:catAx>
      <c:valAx>
        <c:axId val="7350147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501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53a529-222b-470c-a652-c83cd0875f73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rgbClr val="C9A84C"/>
                </a:solidFill>
              </a:rPr>
              <a:t>Egypt Foreign Reserves (USD B)</a:t>
            </a:r>
            <a:endParaRPr lang="en-US" sz="1200">
              <a:solidFill>
                <a:srgbClr val="C9A84C"/>
              </a:solidFill>
            </a:endParaRPr>
          </a:p>
        </c:rich>
      </c:tx>
      <c:layout>
        <c:manualLayout>
          <c:xMode val="edge"/>
          <c:yMode val="edge"/>
          <c:x val="0.316320645905421"/>
          <c:y val="0.029332681495966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Macro_Indicators!$D$2</c:f>
              <c:strCache>
                <c:ptCount val="1"/>
                <c:pt idx="0">
                  <c:v>Foreign Reserves
(USD Billion)</c:v>
                </c:pt>
              </c:strCache>
            </c:strRef>
          </c:tx>
          <c:spPr>
            <a:solidFill>
              <a:srgbClr val="5DCAA5">
                <a:alpha val="60000"/>
              </a:srgbClr>
            </a:solidFill>
            <a:ln w="19050">
              <a:solidFill>
                <a:srgbClr val="1D9E75"/>
              </a:solidFill>
            </a:ln>
            <a:effectLst>
              <a:innerShdw dist="12700" dir="16200000">
                <a:schemeClr val="lt1"/>
              </a:innerShdw>
            </a:effectLst>
            <a:sp3d contourW="19050">
              <a:contourClr>
                <a:srgbClr val="1D9E75"/>
              </a:contourClr>
            </a:sp3d>
          </c:spPr>
          <c:dLbls>
            <c:delete val="1"/>
          </c:dLbls>
          <c:cat>
            <c:numRef>
              <c:f>Macro_Indicators!$A$3:$A$122</c:f>
              <c:numCache>
                <c:formatCode>yyyy\-mm</c:formatCode>
                <c:ptCount val="120"/>
                <c:pt idx="0" c:formatCode="yyyy\-mm">
                  <c:v>42005</c:v>
                </c:pt>
                <c:pt idx="1" c:formatCode="yyyy\-mm">
                  <c:v>42036</c:v>
                </c:pt>
                <c:pt idx="2" c:formatCode="yyyy\-mm">
                  <c:v>42064</c:v>
                </c:pt>
                <c:pt idx="3" c:formatCode="yyyy\-mm">
                  <c:v>42095</c:v>
                </c:pt>
                <c:pt idx="4" c:formatCode="yyyy\-mm">
                  <c:v>42125</c:v>
                </c:pt>
                <c:pt idx="5" c:formatCode="yyyy\-mm">
                  <c:v>42156</c:v>
                </c:pt>
                <c:pt idx="6" c:formatCode="yyyy\-mm">
                  <c:v>42186</c:v>
                </c:pt>
                <c:pt idx="7" c:formatCode="yyyy\-mm">
                  <c:v>42217</c:v>
                </c:pt>
                <c:pt idx="8" c:formatCode="yyyy\-mm">
                  <c:v>42248</c:v>
                </c:pt>
                <c:pt idx="9" c:formatCode="yyyy\-mm">
                  <c:v>42278</c:v>
                </c:pt>
                <c:pt idx="10" c:formatCode="yyyy\-mm">
                  <c:v>42309</c:v>
                </c:pt>
                <c:pt idx="11" c:formatCode="yyyy\-mm">
                  <c:v>42339</c:v>
                </c:pt>
                <c:pt idx="12" c:formatCode="yyyy\-mm">
                  <c:v>42370</c:v>
                </c:pt>
                <c:pt idx="13" c:formatCode="yyyy\-mm">
                  <c:v>42401</c:v>
                </c:pt>
                <c:pt idx="14" c:formatCode="yyyy\-mm">
                  <c:v>42430</c:v>
                </c:pt>
                <c:pt idx="15" c:formatCode="yyyy\-mm">
                  <c:v>42461</c:v>
                </c:pt>
                <c:pt idx="16" c:formatCode="yyyy\-mm">
                  <c:v>42491</c:v>
                </c:pt>
                <c:pt idx="17" c:formatCode="yyyy\-mm">
                  <c:v>42522</c:v>
                </c:pt>
                <c:pt idx="18" c:formatCode="yyyy\-mm">
                  <c:v>42552</c:v>
                </c:pt>
                <c:pt idx="19" c:formatCode="yyyy\-mm">
                  <c:v>42583</c:v>
                </c:pt>
                <c:pt idx="20" c:formatCode="yyyy\-mm">
                  <c:v>42614</c:v>
                </c:pt>
                <c:pt idx="21" c:formatCode="yyyy\-mm">
                  <c:v>42644</c:v>
                </c:pt>
                <c:pt idx="22" c:formatCode="yyyy\-mm">
                  <c:v>42675</c:v>
                </c:pt>
                <c:pt idx="23" c:formatCode="yyyy\-mm">
                  <c:v>42705</c:v>
                </c:pt>
                <c:pt idx="24" c:formatCode="yyyy\-mm">
                  <c:v>42736</c:v>
                </c:pt>
                <c:pt idx="25" c:formatCode="yyyy\-mm">
                  <c:v>42767</c:v>
                </c:pt>
                <c:pt idx="26" c:formatCode="yyyy\-mm">
                  <c:v>42795</c:v>
                </c:pt>
                <c:pt idx="27" c:formatCode="yyyy\-mm">
                  <c:v>42826</c:v>
                </c:pt>
                <c:pt idx="28" c:formatCode="yyyy\-mm">
                  <c:v>42856</c:v>
                </c:pt>
                <c:pt idx="29" c:formatCode="yyyy\-mm">
                  <c:v>42887</c:v>
                </c:pt>
                <c:pt idx="30" c:formatCode="yyyy\-mm">
                  <c:v>42917</c:v>
                </c:pt>
                <c:pt idx="31" c:formatCode="yyyy\-mm">
                  <c:v>42948</c:v>
                </c:pt>
                <c:pt idx="32" c:formatCode="yyyy\-mm">
                  <c:v>42979</c:v>
                </c:pt>
                <c:pt idx="33" c:formatCode="yyyy\-mm">
                  <c:v>43009</c:v>
                </c:pt>
                <c:pt idx="34" c:formatCode="yyyy\-mm">
                  <c:v>43040</c:v>
                </c:pt>
                <c:pt idx="35" c:formatCode="yyyy\-mm">
                  <c:v>43070</c:v>
                </c:pt>
                <c:pt idx="36" c:formatCode="yyyy\-mm">
                  <c:v>43101</c:v>
                </c:pt>
                <c:pt idx="37" c:formatCode="yyyy\-mm">
                  <c:v>43132</c:v>
                </c:pt>
                <c:pt idx="38" c:formatCode="yyyy\-mm">
                  <c:v>43160</c:v>
                </c:pt>
                <c:pt idx="39" c:formatCode="yyyy\-mm">
                  <c:v>43191</c:v>
                </c:pt>
                <c:pt idx="40" c:formatCode="yyyy\-mm">
                  <c:v>43221</c:v>
                </c:pt>
                <c:pt idx="41" c:formatCode="yyyy\-mm">
                  <c:v>43252</c:v>
                </c:pt>
                <c:pt idx="42" c:formatCode="yyyy\-mm">
                  <c:v>43282</c:v>
                </c:pt>
                <c:pt idx="43" c:formatCode="yyyy\-mm">
                  <c:v>43313</c:v>
                </c:pt>
                <c:pt idx="44" c:formatCode="yyyy\-mm">
                  <c:v>43344</c:v>
                </c:pt>
                <c:pt idx="45" c:formatCode="yyyy\-mm">
                  <c:v>43374</c:v>
                </c:pt>
                <c:pt idx="46" c:formatCode="yyyy\-mm">
                  <c:v>43405</c:v>
                </c:pt>
                <c:pt idx="47" c:formatCode="yyyy\-mm">
                  <c:v>43435</c:v>
                </c:pt>
                <c:pt idx="48" c:formatCode="yyyy\-mm">
                  <c:v>43466</c:v>
                </c:pt>
                <c:pt idx="49" c:formatCode="yyyy\-mm">
                  <c:v>43497</c:v>
                </c:pt>
                <c:pt idx="50" c:formatCode="yyyy\-mm">
                  <c:v>43525</c:v>
                </c:pt>
                <c:pt idx="51" c:formatCode="yyyy\-mm">
                  <c:v>43556</c:v>
                </c:pt>
                <c:pt idx="52" c:formatCode="yyyy\-mm">
                  <c:v>43586</c:v>
                </c:pt>
                <c:pt idx="53" c:formatCode="yyyy\-mm">
                  <c:v>43617</c:v>
                </c:pt>
                <c:pt idx="54" c:formatCode="yyyy\-mm">
                  <c:v>43647</c:v>
                </c:pt>
                <c:pt idx="55" c:formatCode="yyyy\-mm">
                  <c:v>43678</c:v>
                </c:pt>
                <c:pt idx="56" c:formatCode="yyyy\-mm">
                  <c:v>43709</c:v>
                </c:pt>
                <c:pt idx="57" c:formatCode="yyyy\-mm">
                  <c:v>43739</c:v>
                </c:pt>
                <c:pt idx="58" c:formatCode="yyyy\-mm">
                  <c:v>43770</c:v>
                </c:pt>
                <c:pt idx="59" c:formatCode="yyyy\-mm">
                  <c:v>43800</c:v>
                </c:pt>
                <c:pt idx="60" c:formatCode="yyyy\-mm">
                  <c:v>43831</c:v>
                </c:pt>
                <c:pt idx="61" c:formatCode="yyyy\-mm">
                  <c:v>43862</c:v>
                </c:pt>
                <c:pt idx="62" c:formatCode="yyyy\-mm">
                  <c:v>43891</c:v>
                </c:pt>
                <c:pt idx="63" c:formatCode="yyyy\-mm">
                  <c:v>43922</c:v>
                </c:pt>
                <c:pt idx="64" c:formatCode="yyyy\-mm">
                  <c:v>43952</c:v>
                </c:pt>
                <c:pt idx="65" c:formatCode="yyyy\-mm">
                  <c:v>43983</c:v>
                </c:pt>
                <c:pt idx="66" c:formatCode="yyyy\-mm">
                  <c:v>44013</c:v>
                </c:pt>
                <c:pt idx="67" c:formatCode="yyyy\-mm">
                  <c:v>44044</c:v>
                </c:pt>
                <c:pt idx="68" c:formatCode="yyyy\-mm">
                  <c:v>44075</c:v>
                </c:pt>
                <c:pt idx="69" c:formatCode="yyyy\-mm">
                  <c:v>44105</c:v>
                </c:pt>
                <c:pt idx="70" c:formatCode="yyyy\-mm">
                  <c:v>44136</c:v>
                </c:pt>
                <c:pt idx="71" c:formatCode="yyyy\-mm">
                  <c:v>44166</c:v>
                </c:pt>
                <c:pt idx="72" c:formatCode="yyyy\-mm">
                  <c:v>44197</c:v>
                </c:pt>
                <c:pt idx="73" c:formatCode="yyyy\-mm">
                  <c:v>44228</c:v>
                </c:pt>
                <c:pt idx="74" c:formatCode="yyyy\-mm">
                  <c:v>44256</c:v>
                </c:pt>
                <c:pt idx="75" c:formatCode="yyyy\-mm">
                  <c:v>44287</c:v>
                </c:pt>
                <c:pt idx="76" c:formatCode="yyyy\-mm">
                  <c:v>44317</c:v>
                </c:pt>
                <c:pt idx="77" c:formatCode="yyyy\-mm">
                  <c:v>44348</c:v>
                </c:pt>
                <c:pt idx="78" c:formatCode="yyyy\-mm">
                  <c:v>44378</c:v>
                </c:pt>
                <c:pt idx="79" c:formatCode="yyyy\-mm">
                  <c:v>44409</c:v>
                </c:pt>
                <c:pt idx="80" c:formatCode="yyyy\-mm">
                  <c:v>44440</c:v>
                </c:pt>
                <c:pt idx="81" c:formatCode="yyyy\-mm">
                  <c:v>44470</c:v>
                </c:pt>
                <c:pt idx="82" c:formatCode="yyyy\-mm">
                  <c:v>44501</c:v>
                </c:pt>
                <c:pt idx="83" c:formatCode="yyyy\-mm">
                  <c:v>44531</c:v>
                </c:pt>
                <c:pt idx="84" c:formatCode="yyyy\-mm">
                  <c:v>44562</c:v>
                </c:pt>
                <c:pt idx="85" c:formatCode="yyyy\-mm">
                  <c:v>44593</c:v>
                </c:pt>
                <c:pt idx="86" c:formatCode="yyyy\-mm">
                  <c:v>44621</c:v>
                </c:pt>
                <c:pt idx="87" c:formatCode="yyyy\-mm">
                  <c:v>44652</c:v>
                </c:pt>
                <c:pt idx="88" c:formatCode="yyyy\-mm">
                  <c:v>44682</c:v>
                </c:pt>
                <c:pt idx="89" c:formatCode="yyyy\-mm">
                  <c:v>44713</c:v>
                </c:pt>
                <c:pt idx="90" c:formatCode="yyyy\-mm">
                  <c:v>44743</c:v>
                </c:pt>
                <c:pt idx="91" c:formatCode="yyyy\-mm">
                  <c:v>44774</c:v>
                </c:pt>
                <c:pt idx="92" c:formatCode="yyyy\-mm">
                  <c:v>44805</c:v>
                </c:pt>
                <c:pt idx="93" c:formatCode="yyyy\-mm">
                  <c:v>44835</c:v>
                </c:pt>
                <c:pt idx="94" c:formatCode="yyyy\-mm">
                  <c:v>44866</c:v>
                </c:pt>
                <c:pt idx="95" c:formatCode="yyyy\-mm">
                  <c:v>44896</c:v>
                </c:pt>
                <c:pt idx="96" c:formatCode="yyyy\-mm">
                  <c:v>44927</c:v>
                </c:pt>
                <c:pt idx="97" c:formatCode="yyyy\-mm">
                  <c:v>44958</c:v>
                </c:pt>
                <c:pt idx="98" c:formatCode="yyyy\-mm">
                  <c:v>44986</c:v>
                </c:pt>
                <c:pt idx="99" c:formatCode="yyyy\-mm">
                  <c:v>45017</c:v>
                </c:pt>
                <c:pt idx="100" c:formatCode="yyyy\-mm">
                  <c:v>45047</c:v>
                </c:pt>
                <c:pt idx="101" c:formatCode="yyyy\-mm">
                  <c:v>45078</c:v>
                </c:pt>
                <c:pt idx="102" c:formatCode="yyyy\-mm">
                  <c:v>45108</c:v>
                </c:pt>
                <c:pt idx="103" c:formatCode="yyyy\-mm">
                  <c:v>45139</c:v>
                </c:pt>
                <c:pt idx="104" c:formatCode="yyyy\-mm">
                  <c:v>45170</c:v>
                </c:pt>
                <c:pt idx="105" c:formatCode="yyyy\-mm">
                  <c:v>45200</c:v>
                </c:pt>
                <c:pt idx="106" c:formatCode="yyyy\-mm">
                  <c:v>45231</c:v>
                </c:pt>
                <c:pt idx="107" c:formatCode="yyyy\-mm">
                  <c:v>45261</c:v>
                </c:pt>
                <c:pt idx="108" c:formatCode="yyyy\-mm">
                  <c:v>45292</c:v>
                </c:pt>
                <c:pt idx="109" c:formatCode="yyyy\-mm">
                  <c:v>45323</c:v>
                </c:pt>
                <c:pt idx="110" c:formatCode="yyyy\-mm">
                  <c:v>45352</c:v>
                </c:pt>
                <c:pt idx="111" c:formatCode="yyyy\-mm">
                  <c:v>45383</c:v>
                </c:pt>
                <c:pt idx="112" c:formatCode="yyyy\-mm">
                  <c:v>45413</c:v>
                </c:pt>
                <c:pt idx="113" c:formatCode="yyyy\-mm">
                  <c:v>45444</c:v>
                </c:pt>
                <c:pt idx="114" c:formatCode="yyyy\-mm">
                  <c:v>45474</c:v>
                </c:pt>
                <c:pt idx="115" c:formatCode="yyyy\-mm">
                  <c:v>45505</c:v>
                </c:pt>
                <c:pt idx="116" c:formatCode="yyyy\-mm">
                  <c:v>45536</c:v>
                </c:pt>
                <c:pt idx="117" c:formatCode="yyyy\-mm">
                  <c:v>45566</c:v>
                </c:pt>
                <c:pt idx="118" c:formatCode="yyyy\-mm">
                  <c:v>45597</c:v>
                </c:pt>
                <c:pt idx="119" c:formatCode="yyyy\-mm">
                  <c:v>45627</c:v>
                </c:pt>
              </c:numCache>
            </c:numRef>
          </c:cat>
          <c:val>
            <c:numRef>
              <c:f>Macro_Indicators!$D$3:$D$122</c:f>
              <c:numCache>
                <c:formatCode>#,##0.0</c:formatCode>
                <c:ptCount val="120"/>
                <c:pt idx="0">
                  <c:v>15.3</c:v>
                </c:pt>
                <c:pt idx="1">
                  <c:v>15.1</c:v>
                </c:pt>
                <c:pt idx="2">
                  <c:v>20.1</c:v>
                </c:pt>
                <c:pt idx="3">
                  <c:v>20.5</c:v>
                </c:pt>
                <c:pt idx="4">
                  <c:v>20.5</c:v>
                </c:pt>
                <c:pt idx="5">
                  <c:v>20.1</c:v>
                </c:pt>
                <c:pt idx="6">
                  <c:v>20.1</c:v>
                </c:pt>
                <c:pt idx="7">
                  <c:v>16.4</c:v>
                </c:pt>
                <c:pt idx="8">
                  <c:v>16.3</c:v>
                </c:pt>
                <c:pt idx="9">
                  <c:v>16.4</c:v>
                </c:pt>
                <c:pt idx="10">
                  <c:v>15.9</c:v>
                </c:pt>
                <c:pt idx="11">
                  <c:v>15.5</c:v>
                </c:pt>
                <c:pt idx="12">
                  <c:v>14.6</c:v>
                </c:pt>
                <c:pt idx="13">
                  <c:v>14.2</c:v>
                </c:pt>
                <c:pt idx="14">
                  <c:v>15</c:v>
                </c:pt>
                <c:pt idx="15">
                  <c:v>17.1</c:v>
                </c:pt>
                <c:pt idx="16">
                  <c:v>17.5</c:v>
                </c:pt>
                <c:pt idx="17">
                  <c:v>15.5</c:v>
                </c:pt>
                <c:pt idx="18">
                  <c:v>15.5</c:v>
                </c:pt>
                <c:pt idx="19">
                  <c:v>19.6</c:v>
                </c:pt>
                <c:pt idx="20">
                  <c:v>19.6</c:v>
                </c:pt>
                <c:pt idx="21">
                  <c:v>19.6</c:v>
                </c:pt>
                <c:pt idx="22">
                  <c:v>23.1</c:v>
                </c:pt>
                <c:pt idx="23">
                  <c:v>26.4</c:v>
                </c:pt>
                <c:pt idx="24">
                  <c:v>26.3</c:v>
                </c:pt>
                <c:pt idx="25">
                  <c:v>26.5</c:v>
                </c:pt>
                <c:pt idx="26">
                  <c:v>28.6</c:v>
                </c:pt>
                <c:pt idx="27">
                  <c:v>28.5</c:v>
                </c:pt>
                <c:pt idx="28">
                  <c:v>31.1</c:v>
                </c:pt>
                <c:pt idx="29">
                  <c:v>31.6</c:v>
                </c:pt>
                <c:pt idx="30">
                  <c:v>36</c:v>
                </c:pt>
                <c:pt idx="31">
                  <c:v>36</c:v>
                </c:pt>
                <c:pt idx="32">
                  <c:v>36.4</c:v>
                </c:pt>
                <c:pt idx="33">
                  <c:v>36.7</c:v>
                </c:pt>
                <c:pt idx="34">
                  <c:v>37</c:v>
                </c:pt>
                <c:pt idx="35">
                  <c:v>37</c:v>
                </c:pt>
                <c:pt idx="36">
                  <c:v>37</c:v>
                </c:pt>
                <c:pt idx="37">
                  <c:v>42.5</c:v>
                </c:pt>
                <c:pt idx="38">
                  <c:v>44.3</c:v>
                </c:pt>
                <c:pt idx="39">
                  <c:v>44.1</c:v>
                </c:pt>
                <c:pt idx="40">
                  <c:v>44.2</c:v>
                </c:pt>
                <c:pt idx="41">
                  <c:v>44.4</c:v>
                </c:pt>
                <c:pt idx="42">
                  <c:v>44.4</c:v>
                </c:pt>
                <c:pt idx="43">
                  <c:v>44.4</c:v>
                </c:pt>
                <c:pt idx="44">
                  <c:v>44.4</c:v>
                </c:pt>
                <c:pt idx="45">
                  <c:v>44.5</c:v>
                </c:pt>
                <c:pt idx="46">
                  <c:v>44.5</c:v>
                </c:pt>
                <c:pt idx="47">
                  <c:v>44.6</c:v>
                </c:pt>
                <c:pt idx="48">
                  <c:v>42.6</c:v>
                </c:pt>
                <c:pt idx="49">
                  <c:v>42.2</c:v>
                </c:pt>
                <c:pt idx="50">
                  <c:v>43.9</c:v>
                </c:pt>
                <c:pt idx="51">
                  <c:v>43</c:v>
                </c:pt>
                <c:pt idx="52">
                  <c:v>44.1</c:v>
                </c:pt>
                <c:pt idx="53">
                  <c:v>45.1</c:v>
                </c:pt>
                <c:pt idx="54">
                  <c:v>45.1</c:v>
                </c:pt>
                <c:pt idx="55">
                  <c:v>45.4</c:v>
                </c:pt>
                <c:pt idx="56">
                  <c:v>45.4</c:v>
                </c:pt>
                <c:pt idx="57">
                  <c:v>45.4</c:v>
                </c:pt>
                <c:pt idx="58">
                  <c:v>45.4</c:v>
                </c:pt>
                <c:pt idx="59">
                  <c:v>45.5</c:v>
                </c:pt>
                <c:pt idx="60">
                  <c:v>45.5</c:v>
                </c:pt>
                <c:pt idx="61">
                  <c:v>45.5</c:v>
                </c:pt>
                <c:pt idx="62">
                  <c:v>40.1</c:v>
                </c:pt>
                <c:pt idx="63">
                  <c:v>37</c:v>
                </c:pt>
                <c:pt idx="64">
                  <c:v>38.2</c:v>
                </c:pt>
                <c:pt idx="65">
                  <c:v>38.2</c:v>
                </c:pt>
                <c:pt idx="66">
                  <c:v>38.4</c:v>
                </c:pt>
                <c:pt idx="67">
                  <c:v>38.5</c:v>
                </c:pt>
                <c:pt idx="68">
                  <c:v>38.5</c:v>
                </c:pt>
                <c:pt idx="69">
                  <c:v>39.2</c:v>
                </c:pt>
                <c:pt idx="70">
                  <c:v>39.3</c:v>
                </c:pt>
                <c:pt idx="71">
                  <c:v>40.1</c:v>
                </c:pt>
                <c:pt idx="72">
                  <c:v>40.1</c:v>
                </c:pt>
                <c:pt idx="73">
                  <c:v>40.3</c:v>
                </c:pt>
                <c:pt idx="74">
                  <c:v>40</c:v>
                </c:pt>
                <c:pt idx="75">
                  <c:v>40</c:v>
                </c:pt>
                <c:pt idx="76">
                  <c:v>40.1</c:v>
                </c:pt>
                <c:pt idx="77">
                  <c:v>40.9</c:v>
                </c:pt>
                <c:pt idx="78">
                  <c:v>40.9</c:v>
                </c:pt>
                <c:pt idx="79">
                  <c:v>40.9</c:v>
                </c:pt>
                <c:pt idx="80">
                  <c:v>41.1</c:v>
                </c:pt>
                <c:pt idx="81">
                  <c:v>41.1</c:v>
                </c:pt>
                <c:pt idx="82">
                  <c:v>41.1</c:v>
                </c:pt>
                <c:pt idx="83">
                  <c:v>41</c:v>
                </c:pt>
                <c:pt idx="84">
                  <c:v>41</c:v>
                </c:pt>
                <c:pt idx="85">
                  <c:v>40</c:v>
                </c:pt>
                <c:pt idx="86">
                  <c:v>37.1</c:v>
                </c:pt>
                <c:pt idx="87">
                  <c:v>35.5</c:v>
                </c:pt>
                <c:pt idx="88">
                  <c:v>33.4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33.2</c:v>
                </c:pt>
                <c:pt idx="93">
                  <c:v>33.5</c:v>
                </c:pt>
                <c:pt idx="94">
                  <c:v>34</c:v>
                </c:pt>
                <c:pt idx="95">
                  <c:v>34.2</c:v>
                </c:pt>
                <c:pt idx="96">
                  <c:v>34</c:v>
                </c:pt>
                <c:pt idx="97">
                  <c:v>34.5</c:v>
                </c:pt>
                <c:pt idx="98">
                  <c:v>34.9</c:v>
                </c:pt>
                <c:pt idx="99">
                  <c:v>33.7</c:v>
                </c:pt>
                <c:pt idx="100">
                  <c:v>34.7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35.2</c:v>
                </c:pt>
                <c:pt idx="107">
                  <c:v>35.2</c:v>
                </c:pt>
                <c:pt idx="108">
                  <c:v>35.4</c:v>
                </c:pt>
                <c:pt idx="109">
                  <c:v>35.4</c:v>
                </c:pt>
                <c:pt idx="110">
                  <c:v>38.8</c:v>
                </c:pt>
                <c:pt idx="111">
                  <c:v>41.1</c:v>
                </c:pt>
                <c:pt idx="112">
                  <c:v>46.2</c:v>
                </c:pt>
                <c:pt idx="113">
                  <c:v>46.5</c:v>
                </c:pt>
                <c:pt idx="114">
                  <c:v>46.9</c:v>
                </c:pt>
                <c:pt idx="115">
                  <c:v>47.5</c:v>
                </c:pt>
                <c:pt idx="116">
                  <c:v>46.9</c:v>
                </c:pt>
                <c:pt idx="117">
                  <c:v>50.3</c:v>
                </c:pt>
                <c:pt idx="118">
                  <c:v>47.6</c:v>
                </c:pt>
                <c:pt idx="119">
                  <c:v>47.1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645168"/>
        <c:axId val="844638328"/>
      </c:areaChart>
      <c:dateAx>
        <c:axId val="844645168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638328"/>
        <c:crosses val="autoZero"/>
        <c:auto val="1"/>
        <c:lblOffset val="100"/>
        <c:baseTimeUnit val="months"/>
      </c:dateAx>
      <c:valAx>
        <c:axId val="84463832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.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64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d3ac17eb-0a1b-4d54-a8d5-14f09b97e7b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C9A84C"/>
                </a:solidFill>
              </a:rPr>
              <a:t>Brent Oil Prices vs Suez Canal Traffic (2015–2024)</a:t>
            </a:r>
            <a:endParaRPr b="1">
              <a:solidFill>
                <a:srgbClr val="C9A84C"/>
              </a:solidFill>
            </a:endParaRPr>
          </a:p>
        </c:rich>
      </c:tx>
      <c:layout>
        <c:manualLayout>
          <c:xMode val="edge"/>
          <c:yMode val="edge"/>
          <c:x val="0.270826696400127"/>
          <c:y val="0.020373514431239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Suez_Canal!$C$2</c:f>
              <c:strCache>
                <c:ptCount val="1"/>
                <c:pt idx="0">
                  <c:v>Ships
(count)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Suez_Canal!$A$3:$A$122</c:f>
              <c:numCache>
                <c:formatCode>yyyy\-mm</c:formatCode>
                <c:ptCount val="120"/>
                <c:pt idx="0" c:formatCode="yyyy\-mm">
                  <c:v>42005</c:v>
                </c:pt>
                <c:pt idx="1" c:formatCode="yyyy\-mm">
                  <c:v>42036</c:v>
                </c:pt>
                <c:pt idx="2" c:formatCode="yyyy\-mm">
                  <c:v>42064</c:v>
                </c:pt>
                <c:pt idx="3" c:formatCode="yyyy\-mm">
                  <c:v>42095</c:v>
                </c:pt>
                <c:pt idx="4" c:formatCode="yyyy\-mm">
                  <c:v>42125</c:v>
                </c:pt>
                <c:pt idx="5" c:formatCode="yyyy\-mm">
                  <c:v>42156</c:v>
                </c:pt>
                <c:pt idx="6" c:formatCode="yyyy\-mm">
                  <c:v>42186</c:v>
                </c:pt>
                <c:pt idx="7" c:formatCode="yyyy\-mm">
                  <c:v>42217</c:v>
                </c:pt>
                <c:pt idx="8" c:formatCode="yyyy\-mm">
                  <c:v>42248</c:v>
                </c:pt>
                <c:pt idx="9" c:formatCode="yyyy\-mm">
                  <c:v>42278</c:v>
                </c:pt>
                <c:pt idx="10" c:formatCode="yyyy\-mm">
                  <c:v>42309</c:v>
                </c:pt>
                <c:pt idx="11" c:formatCode="yyyy\-mm">
                  <c:v>42339</c:v>
                </c:pt>
                <c:pt idx="12" c:formatCode="yyyy\-mm">
                  <c:v>42370</c:v>
                </c:pt>
                <c:pt idx="13" c:formatCode="yyyy\-mm">
                  <c:v>42401</c:v>
                </c:pt>
                <c:pt idx="14" c:formatCode="yyyy\-mm">
                  <c:v>42430</c:v>
                </c:pt>
                <c:pt idx="15" c:formatCode="yyyy\-mm">
                  <c:v>42461</c:v>
                </c:pt>
                <c:pt idx="16" c:formatCode="yyyy\-mm">
                  <c:v>42491</c:v>
                </c:pt>
                <c:pt idx="17" c:formatCode="yyyy\-mm">
                  <c:v>42522</c:v>
                </c:pt>
                <c:pt idx="18" c:formatCode="yyyy\-mm">
                  <c:v>42552</c:v>
                </c:pt>
                <c:pt idx="19" c:formatCode="yyyy\-mm">
                  <c:v>42583</c:v>
                </c:pt>
                <c:pt idx="20" c:formatCode="yyyy\-mm">
                  <c:v>42614</c:v>
                </c:pt>
                <c:pt idx="21" c:formatCode="yyyy\-mm">
                  <c:v>42644</c:v>
                </c:pt>
                <c:pt idx="22" c:formatCode="yyyy\-mm">
                  <c:v>42675</c:v>
                </c:pt>
                <c:pt idx="23" c:formatCode="yyyy\-mm">
                  <c:v>42705</c:v>
                </c:pt>
                <c:pt idx="24" c:formatCode="yyyy\-mm">
                  <c:v>42736</c:v>
                </c:pt>
                <c:pt idx="25" c:formatCode="yyyy\-mm">
                  <c:v>42767</c:v>
                </c:pt>
                <c:pt idx="26" c:formatCode="yyyy\-mm">
                  <c:v>42795</c:v>
                </c:pt>
                <c:pt idx="27" c:formatCode="yyyy\-mm">
                  <c:v>42826</c:v>
                </c:pt>
                <c:pt idx="28" c:formatCode="yyyy\-mm">
                  <c:v>42856</c:v>
                </c:pt>
                <c:pt idx="29" c:formatCode="yyyy\-mm">
                  <c:v>42887</c:v>
                </c:pt>
                <c:pt idx="30" c:formatCode="yyyy\-mm">
                  <c:v>42917</c:v>
                </c:pt>
                <c:pt idx="31" c:formatCode="yyyy\-mm">
                  <c:v>42948</c:v>
                </c:pt>
                <c:pt idx="32" c:formatCode="yyyy\-mm">
                  <c:v>42979</c:v>
                </c:pt>
                <c:pt idx="33" c:formatCode="yyyy\-mm">
                  <c:v>43009</c:v>
                </c:pt>
                <c:pt idx="34" c:formatCode="yyyy\-mm">
                  <c:v>43040</c:v>
                </c:pt>
                <c:pt idx="35" c:formatCode="yyyy\-mm">
                  <c:v>43070</c:v>
                </c:pt>
                <c:pt idx="36" c:formatCode="yyyy\-mm">
                  <c:v>43101</c:v>
                </c:pt>
                <c:pt idx="37" c:formatCode="yyyy\-mm">
                  <c:v>43132</c:v>
                </c:pt>
                <c:pt idx="38" c:formatCode="yyyy\-mm">
                  <c:v>43160</c:v>
                </c:pt>
                <c:pt idx="39" c:formatCode="yyyy\-mm">
                  <c:v>43191</c:v>
                </c:pt>
                <c:pt idx="40" c:formatCode="yyyy\-mm">
                  <c:v>43221</c:v>
                </c:pt>
                <c:pt idx="41" c:formatCode="yyyy\-mm">
                  <c:v>43252</c:v>
                </c:pt>
                <c:pt idx="42" c:formatCode="yyyy\-mm">
                  <c:v>43282</c:v>
                </c:pt>
                <c:pt idx="43" c:formatCode="yyyy\-mm">
                  <c:v>43313</c:v>
                </c:pt>
                <c:pt idx="44" c:formatCode="yyyy\-mm">
                  <c:v>43344</c:v>
                </c:pt>
                <c:pt idx="45" c:formatCode="yyyy\-mm">
                  <c:v>43374</c:v>
                </c:pt>
                <c:pt idx="46" c:formatCode="yyyy\-mm">
                  <c:v>43405</c:v>
                </c:pt>
                <c:pt idx="47" c:formatCode="yyyy\-mm">
                  <c:v>43435</c:v>
                </c:pt>
                <c:pt idx="48" c:formatCode="yyyy\-mm">
                  <c:v>43466</c:v>
                </c:pt>
                <c:pt idx="49" c:formatCode="yyyy\-mm">
                  <c:v>43497</c:v>
                </c:pt>
                <c:pt idx="50" c:formatCode="yyyy\-mm">
                  <c:v>43525</c:v>
                </c:pt>
                <c:pt idx="51" c:formatCode="yyyy\-mm">
                  <c:v>43556</c:v>
                </c:pt>
                <c:pt idx="52" c:formatCode="yyyy\-mm">
                  <c:v>43586</c:v>
                </c:pt>
                <c:pt idx="53" c:formatCode="yyyy\-mm">
                  <c:v>43617</c:v>
                </c:pt>
                <c:pt idx="54" c:formatCode="yyyy\-mm">
                  <c:v>43647</c:v>
                </c:pt>
                <c:pt idx="55" c:formatCode="yyyy\-mm">
                  <c:v>43678</c:v>
                </c:pt>
                <c:pt idx="56" c:formatCode="yyyy\-mm">
                  <c:v>43709</c:v>
                </c:pt>
                <c:pt idx="57" c:formatCode="yyyy\-mm">
                  <c:v>43739</c:v>
                </c:pt>
                <c:pt idx="58" c:formatCode="yyyy\-mm">
                  <c:v>43770</c:v>
                </c:pt>
                <c:pt idx="59" c:formatCode="yyyy\-mm">
                  <c:v>43800</c:v>
                </c:pt>
                <c:pt idx="60" c:formatCode="yyyy\-mm">
                  <c:v>43831</c:v>
                </c:pt>
                <c:pt idx="61" c:formatCode="yyyy\-mm">
                  <c:v>43862</c:v>
                </c:pt>
                <c:pt idx="62" c:formatCode="yyyy\-mm">
                  <c:v>43891</c:v>
                </c:pt>
                <c:pt idx="63" c:formatCode="yyyy\-mm">
                  <c:v>43922</c:v>
                </c:pt>
                <c:pt idx="64" c:formatCode="yyyy\-mm">
                  <c:v>43952</c:v>
                </c:pt>
                <c:pt idx="65" c:formatCode="yyyy\-mm">
                  <c:v>43983</c:v>
                </c:pt>
                <c:pt idx="66" c:formatCode="yyyy\-mm">
                  <c:v>44013</c:v>
                </c:pt>
                <c:pt idx="67" c:formatCode="yyyy\-mm">
                  <c:v>44044</c:v>
                </c:pt>
                <c:pt idx="68" c:formatCode="yyyy\-mm">
                  <c:v>44075</c:v>
                </c:pt>
                <c:pt idx="69" c:formatCode="yyyy\-mm">
                  <c:v>44105</c:v>
                </c:pt>
                <c:pt idx="70" c:formatCode="yyyy\-mm">
                  <c:v>44136</c:v>
                </c:pt>
                <c:pt idx="71" c:formatCode="yyyy\-mm">
                  <c:v>44166</c:v>
                </c:pt>
                <c:pt idx="72" c:formatCode="yyyy\-mm">
                  <c:v>44197</c:v>
                </c:pt>
                <c:pt idx="73" c:formatCode="yyyy\-mm">
                  <c:v>44228</c:v>
                </c:pt>
                <c:pt idx="74" c:formatCode="yyyy\-mm">
                  <c:v>44256</c:v>
                </c:pt>
                <c:pt idx="75" c:formatCode="yyyy\-mm">
                  <c:v>44287</c:v>
                </c:pt>
                <c:pt idx="76" c:formatCode="yyyy\-mm">
                  <c:v>44317</c:v>
                </c:pt>
                <c:pt idx="77" c:formatCode="yyyy\-mm">
                  <c:v>44348</c:v>
                </c:pt>
                <c:pt idx="78" c:formatCode="yyyy\-mm">
                  <c:v>44378</c:v>
                </c:pt>
                <c:pt idx="79" c:formatCode="yyyy\-mm">
                  <c:v>44409</c:v>
                </c:pt>
                <c:pt idx="80" c:formatCode="yyyy\-mm">
                  <c:v>44440</c:v>
                </c:pt>
                <c:pt idx="81" c:formatCode="yyyy\-mm">
                  <c:v>44470</c:v>
                </c:pt>
                <c:pt idx="82" c:formatCode="yyyy\-mm">
                  <c:v>44501</c:v>
                </c:pt>
                <c:pt idx="83" c:formatCode="yyyy\-mm">
                  <c:v>44531</c:v>
                </c:pt>
                <c:pt idx="84" c:formatCode="yyyy\-mm">
                  <c:v>44562</c:v>
                </c:pt>
                <c:pt idx="85" c:formatCode="yyyy\-mm">
                  <c:v>44593</c:v>
                </c:pt>
                <c:pt idx="86" c:formatCode="yyyy\-mm">
                  <c:v>44621</c:v>
                </c:pt>
                <c:pt idx="87" c:formatCode="yyyy\-mm">
                  <c:v>44652</c:v>
                </c:pt>
                <c:pt idx="88" c:formatCode="yyyy\-mm">
                  <c:v>44682</c:v>
                </c:pt>
                <c:pt idx="89" c:formatCode="yyyy\-mm">
                  <c:v>44713</c:v>
                </c:pt>
                <c:pt idx="90" c:formatCode="yyyy\-mm">
                  <c:v>44743</c:v>
                </c:pt>
                <c:pt idx="91" c:formatCode="yyyy\-mm">
                  <c:v>44774</c:v>
                </c:pt>
                <c:pt idx="92" c:formatCode="yyyy\-mm">
                  <c:v>44805</c:v>
                </c:pt>
                <c:pt idx="93" c:formatCode="yyyy\-mm">
                  <c:v>44835</c:v>
                </c:pt>
                <c:pt idx="94" c:formatCode="yyyy\-mm">
                  <c:v>44866</c:v>
                </c:pt>
                <c:pt idx="95" c:formatCode="yyyy\-mm">
                  <c:v>44896</c:v>
                </c:pt>
                <c:pt idx="96" c:formatCode="yyyy\-mm">
                  <c:v>44927</c:v>
                </c:pt>
                <c:pt idx="97" c:formatCode="yyyy\-mm">
                  <c:v>44958</c:v>
                </c:pt>
                <c:pt idx="98" c:formatCode="yyyy\-mm">
                  <c:v>44986</c:v>
                </c:pt>
                <c:pt idx="99" c:formatCode="yyyy\-mm">
                  <c:v>45017</c:v>
                </c:pt>
                <c:pt idx="100" c:formatCode="yyyy\-mm">
                  <c:v>45047</c:v>
                </c:pt>
                <c:pt idx="101" c:formatCode="yyyy\-mm">
                  <c:v>45078</c:v>
                </c:pt>
                <c:pt idx="102" c:formatCode="yyyy\-mm">
                  <c:v>45108</c:v>
                </c:pt>
                <c:pt idx="103" c:formatCode="yyyy\-mm">
                  <c:v>45139</c:v>
                </c:pt>
                <c:pt idx="104" c:formatCode="yyyy\-mm">
                  <c:v>45170</c:v>
                </c:pt>
                <c:pt idx="105" c:formatCode="yyyy\-mm">
                  <c:v>45200</c:v>
                </c:pt>
                <c:pt idx="106" c:formatCode="yyyy\-mm">
                  <c:v>45231</c:v>
                </c:pt>
                <c:pt idx="107" c:formatCode="yyyy\-mm">
                  <c:v>45261</c:v>
                </c:pt>
                <c:pt idx="108" c:formatCode="yyyy\-mm">
                  <c:v>45292</c:v>
                </c:pt>
                <c:pt idx="109" c:formatCode="yyyy\-mm">
                  <c:v>45323</c:v>
                </c:pt>
                <c:pt idx="110" c:formatCode="yyyy\-mm">
                  <c:v>45352</c:v>
                </c:pt>
                <c:pt idx="111" c:formatCode="yyyy\-mm">
                  <c:v>45383</c:v>
                </c:pt>
                <c:pt idx="112" c:formatCode="yyyy\-mm">
                  <c:v>45413</c:v>
                </c:pt>
                <c:pt idx="113" c:formatCode="yyyy\-mm">
                  <c:v>45444</c:v>
                </c:pt>
                <c:pt idx="114" c:formatCode="yyyy\-mm">
                  <c:v>45474</c:v>
                </c:pt>
                <c:pt idx="115" c:formatCode="yyyy\-mm">
                  <c:v>45505</c:v>
                </c:pt>
                <c:pt idx="116" c:formatCode="yyyy\-mm">
                  <c:v>45536</c:v>
                </c:pt>
                <c:pt idx="117" c:formatCode="yyyy\-mm">
                  <c:v>45566</c:v>
                </c:pt>
                <c:pt idx="118" c:formatCode="yyyy\-mm">
                  <c:v>45597</c:v>
                </c:pt>
                <c:pt idx="119" c:formatCode="yyyy\-mm">
                  <c:v>45627</c:v>
                </c:pt>
              </c:numCache>
            </c:numRef>
          </c:cat>
          <c:val>
            <c:numRef>
              <c:f>Suez_Canal!$C$3:$C$122</c:f>
              <c:numCache>
                <c:formatCode>#,##0</c:formatCode>
                <c:ptCount val="120"/>
                <c:pt idx="0">
                  <c:v>1486</c:v>
                </c:pt>
                <c:pt idx="1">
                  <c:v>1413</c:v>
                </c:pt>
                <c:pt idx="2">
                  <c:v>1384</c:v>
                </c:pt>
                <c:pt idx="3">
                  <c:v>1399</c:v>
                </c:pt>
                <c:pt idx="4">
                  <c:v>1442</c:v>
                </c:pt>
                <c:pt idx="5">
                  <c:v>1471</c:v>
                </c:pt>
                <c:pt idx="6">
                  <c:v>1486</c:v>
                </c:pt>
                <c:pt idx="7">
                  <c:v>1501</c:v>
                </c:pt>
                <c:pt idx="8">
                  <c:v>1486</c:v>
                </c:pt>
                <c:pt idx="9">
                  <c:v>1471</c:v>
                </c:pt>
                <c:pt idx="10">
                  <c:v>1471</c:v>
                </c:pt>
                <c:pt idx="11">
                  <c:v>1473</c:v>
                </c:pt>
                <c:pt idx="12">
                  <c:v>1422</c:v>
                </c:pt>
                <c:pt idx="13">
                  <c:v>1352</c:v>
                </c:pt>
                <c:pt idx="14">
                  <c:v>1324</c:v>
                </c:pt>
                <c:pt idx="15">
                  <c:v>1338</c:v>
                </c:pt>
                <c:pt idx="16">
                  <c:v>1380</c:v>
                </c:pt>
                <c:pt idx="17">
                  <c:v>1408</c:v>
                </c:pt>
                <c:pt idx="18">
                  <c:v>1422</c:v>
                </c:pt>
                <c:pt idx="19">
                  <c:v>1435</c:v>
                </c:pt>
                <c:pt idx="20">
                  <c:v>1422</c:v>
                </c:pt>
                <c:pt idx="21">
                  <c:v>1408</c:v>
                </c:pt>
                <c:pt idx="22">
                  <c:v>1408</c:v>
                </c:pt>
                <c:pt idx="23">
                  <c:v>1405</c:v>
                </c:pt>
                <c:pt idx="24">
                  <c:v>1492</c:v>
                </c:pt>
                <c:pt idx="25">
                  <c:v>1419</c:v>
                </c:pt>
                <c:pt idx="26">
                  <c:v>1389</c:v>
                </c:pt>
                <c:pt idx="27">
                  <c:v>1404</c:v>
                </c:pt>
                <c:pt idx="28">
                  <c:v>1448</c:v>
                </c:pt>
                <c:pt idx="29">
                  <c:v>1477</c:v>
                </c:pt>
                <c:pt idx="30">
                  <c:v>1492</c:v>
                </c:pt>
                <c:pt idx="31">
                  <c:v>1506</c:v>
                </c:pt>
                <c:pt idx="32">
                  <c:v>1492</c:v>
                </c:pt>
                <c:pt idx="33">
                  <c:v>1477</c:v>
                </c:pt>
                <c:pt idx="34">
                  <c:v>1477</c:v>
                </c:pt>
                <c:pt idx="35">
                  <c:v>1477</c:v>
                </c:pt>
                <c:pt idx="36">
                  <c:v>1545</c:v>
                </c:pt>
                <c:pt idx="37">
                  <c:v>1469</c:v>
                </c:pt>
                <c:pt idx="38">
                  <c:v>1439</c:v>
                </c:pt>
                <c:pt idx="39">
                  <c:v>1454</c:v>
                </c:pt>
                <c:pt idx="40">
                  <c:v>1499</c:v>
                </c:pt>
                <c:pt idx="41">
                  <c:v>1530</c:v>
                </c:pt>
                <c:pt idx="42">
                  <c:v>1545</c:v>
                </c:pt>
                <c:pt idx="43">
                  <c:v>1560</c:v>
                </c:pt>
                <c:pt idx="44">
                  <c:v>1545</c:v>
                </c:pt>
                <c:pt idx="45">
                  <c:v>1530</c:v>
                </c:pt>
                <c:pt idx="46">
                  <c:v>1530</c:v>
                </c:pt>
                <c:pt idx="47">
                  <c:v>1528</c:v>
                </c:pt>
                <c:pt idx="48">
                  <c:v>1605</c:v>
                </c:pt>
                <c:pt idx="49">
                  <c:v>1526</c:v>
                </c:pt>
                <c:pt idx="50">
                  <c:v>1495</c:v>
                </c:pt>
                <c:pt idx="51">
                  <c:v>1510</c:v>
                </c:pt>
                <c:pt idx="52">
                  <c:v>1558</c:v>
                </c:pt>
                <c:pt idx="53">
                  <c:v>1589</c:v>
                </c:pt>
                <c:pt idx="54">
                  <c:v>1605</c:v>
                </c:pt>
                <c:pt idx="55">
                  <c:v>1621</c:v>
                </c:pt>
                <c:pt idx="56">
                  <c:v>1605</c:v>
                </c:pt>
                <c:pt idx="57">
                  <c:v>1589</c:v>
                </c:pt>
                <c:pt idx="58">
                  <c:v>1589</c:v>
                </c:pt>
                <c:pt idx="59">
                  <c:v>1588</c:v>
                </c:pt>
                <c:pt idx="60">
                  <c:v>1601</c:v>
                </c:pt>
                <c:pt idx="61">
                  <c:v>1522</c:v>
                </c:pt>
                <c:pt idx="62">
                  <c:v>1491</c:v>
                </c:pt>
                <c:pt idx="63">
                  <c:v>1506</c:v>
                </c:pt>
                <c:pt idx="64">
                  <c:v>1553</c:v>
                </c:pt>
                <c:pt idx="65">
                  <c:v>1585</c:v>
                </c:pt>
                <c:pt idx="66">
                  <c:v>1601</c:v>
                </c:pt>
                <c:pt idx="67">
                  <c:v>1616</c:v>
                </c:pt>
                <c:pt idx="68">
                  <c:v>1601</c:v>
                </c:pt>
                <c:pt idx="69">
                  <c:v>1585</c:v>
                </c:pt>
                <c:pt idx="70">
                  <c:v>1585</c:v>
                </c:pt>
                <c:pt idx="71">
                  <c:v>1584</c:v>
                </c:pt>
                <c:pt idx="72">
                  <c:v>1697</c:v>
                </c:pt>
                <c:pt idx="73">
                  <c:v>1614</c:v>
                </c:pt>
                <c:pt idx="74">
                  <c:v>1242</c:v>
                </c:pt>
                <c:pt idx="75">
                  <c:v>1800</c:v>
                </c:pt>
                <c:pt idx="76">
                  <c:v>1780</c:v>
                </c:pt>
                <c:pt idx="77">
                  <c:v>1718</c:v>
                </c:pt>
                <c:pt idx="78">
                  <c:v>1759</c:v>
                </c:pt>
                <c:pt idx="79">
                  <c:v>1780</c:v>
                </c:pt>
                <c:pt idx="80">
                  <c:v>1759</c:v>
                </c:pt>
                <c:pt idx="81">
                  <c:v>1738</c:v>
                </c:pt>
                <c:pt idx="82">
                  <c:v>1718</c:v>
                </c:pt>
                <c:pt idx="83">
                  <c:v>2089</c:v>
                </c:pt>
                <c:pt idx="84">
                  <c:v>2027</c:v>
                </c:pt>
                <c:pt idx="85">
                  <c:v>1928</c:v>
                </c:pt>
                <c:pt idx="86">
                  <c:v>1888</c:v>
                </c:pt>
                <c:pt idx="87">
                  <c:v>1908</c:v>
                </c:pt>
                <c:pt idx="88">
                  <c:v>1968</c:v>
                </c:pt>
                <c:pt idx="89">
                  <c:v>2007</c:v>
                </c:pt>
                <c:pt idx="90">
                  <c:v>2027</c:v>
                </c:pt>
                <c:pt idx="91">
                  <c:v>2047</c:v>
                </c:pt>
                <c:pt idx="92">
                  <c:v>2027</c:v>
                </c:pt>
                <c:pt idx="93">
                  <c:v>2007</c:v>
                </c:pt>
                <c:pt idx="94">
                  <c:v>2007</c:v>
                </c:pt>
                <c:pt idx="95">
                  <c:v>2010</c:v>
                </c:pt>
                <c:pt idx="96">
                  <c:v>2247</c:v>
                </c:pt>
                <c:pt idx="97">
                  <c:v>2137</c:v>
                </c:pt>
                <c:pt idx="98">
                  <c:v>2093</c:v>
                </c:pt>
                <c:pt idx="99">
                  <c:v>2115</c:v>
                </c:pt>
                <c:pt idx="100">
                  <c:v>2181</c:v>
                </c:pt>
                <c:pt idx="101">
                  <c:v>2225</c:v>
                </c:pt>
                <c:pt idx="102">
                  <c:v>2247</c:v>
                </c:pt>
                <c:pt idx="103">
                  <c:v>2269</c:v>
                </c:pt>
                <c:pt idx="104">
                  <c:v>2247</c:v>
                </c:pt>
                <c:pt idx="105">
                  <c:v>2225</c:v>
                </c:pt>
                <c:pt idx="106">
                  <c:v>2225</c:v>
                </c:pt>
                <c:pt idx="107">
                  <c:v>2223</c:v>
                </c:pt>
                <c:pt idx="108">
                  <c:v>1189</c:v>
                </c:pt>
                <c:pt idx="109">
                  <c:v>1123</c:v>
                </c:pt>
                <c:pt idx="110">
                  <c:v>1031</c:v>
                </c:pt>
                <c:pt idx="111">
                  <c:v>951</c:v>
                </c:pt>
                <c:pt idx="112">
                  <c:v>898</c:v>
                </c:pt>
                <c:pt idx="113">
                  <c:v>859</c:v>
                </c:pt>
                <c:pt idx="114">
                  <c:v>1057</c:v>
                </c:pt>
                <c:pt idx="115">
                  <c:v>1163</c:v>
                </c:pt>
                <c:pt idx="116">
                  <c:v>1216</c:v>
                </c:pt>
                <c:pt idx="117">
                  <c:v>1255</c:v>
                </c:pt>
                <c:pt idx="118">
                  <c:v>1229</c:v>
                </c:pt>
                <c:pt idx="119">
                  <c:v>1242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3776445"/>
        <c:axId val="172729274"/>
      </c:lineChart>
      <c:lineChart>
        <c:grouping val="standard"/>
        <c:varyColors val="0"/>
        <c:ser>
          <c:idx val="1"/>
          <c:order val="1"/>
          <c:tx>
            <c:strRef>
              <c:f>Macro_Indicators!$E$2</c:f>
              <c:strCache>
                <c:ptCount val="1"/>
                <c:pt idx="0">
                  <c:v>Brent Oil
(USD/barrel)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Suez_Canal!$A$3:$A$122</c:f>
              <c:numCache>
                <c:formatCode>yyyy\-mm</c:formatCode>
                <c:ptCount val="120"/>
                <c:pt idx="0" c:formatCode="yyyy\-mm">
                  <c:v>42005</c:v>
                </c:pt>
                <c:pt idx="1" c:formatCode="yyyy\-mm">
                  <c:v>42036</c:v>
                </c:pt>
                <c:pt idx="2" c:formatCode="yyyy\-mm">
                  <c:v>42064</c:v>
                </c:pt>
                <c:pt idx="3" c:formatCode="yyyy\-mm">
                  <c:v>42095</c:v>
                </c:pt>
                <c:pt idx="4" c:formatCode="yyyy\-mm">
                  <c:v>42125</c:v>
                </c:pt>
                <c:pt idx="5" c:formatCode="yyyy\-mm">
                  <c:v>42156</c:v>
                </c:pt>
                <c:pt idx="6" c:formatCode="yyyy\-mm">
                  <c:v>42186</c:v>
                </c:pt>
                <c:pt idx="7" c:formatCode="yyyy\-mm">
                  <c:v>42217</c:v>
                </c:pt>
                <c:pt idx="8" c:formatCode="yyyy\-mm">
                  <c:v>42248</c:v>
                </c:pt>
                <c:pt idx="9" c:formatCode="yyyy\-mm">
                  <c:v>42278</c:v>
                </c:pt>
                <c:pt idx="10" c:formatCode="yyyy\-mm">
                  <c:v>42309</c:v>
                </c:pt>
                <c:pt idx="11" c:formatCode="yyyy\-mm">
                  <c:v>42339</c:v>
                </c:pt>
                <c:pt idx="12" c:formatCode="yyyy\-mm">
                  <c:v>42370</c:v>
                </c:pt>
                <c:pt idx="13" c:formatCode="yyyy\-mm">
                  <c:v>42401</c:v>
                </c:pt>
                <c:pt idx="14" c:formatCode="yyyy\-mm">
                  <c:v>42430</c:v>
                </c:pt>
                <c:pt idx="15" c:formatCode="yyyy\-mm">
                  <c:v>42461</c:v>
                </c:pt>
                <c:pt idx="16" c:formatCode="yyyy\-mm">
                  <c:v>42491</c:v>
                </c:pt>
                <c:pt idx="17" c:formatCode="yyyy\-mm">
                  <c:v>42522</c:v>
                </c:pt>
                <c:pt idx="18" c:formatCode="yyyy\-mm">
                  <c:v>42552</c:v>
                </c:pt>
                <c:pt idx="19" c:formatCode="yyyy\-mm">
                  <c:v>42583</c:v>
                </c:pt>
                <c:pt idx="20" c:formatCode="yyyy\-mm">
                  <c:v>42614</c:v>
                </c:pt>
                <c:pt idx="21" c:formatCode="yyyy\-mm">
                  <c:v>42644</c:v>
                </c:pt>
                <c:pt idx="22" c:formatCode="yyyy\-mm">
                  <c:v>42675</c:v>
                </c:pt>
                <c:pt idx="23" c:formatCode="yyyy\-mm">
                  <c:v>42705</c:v>
                </c:pt>
                <c:pt idx="24" c:formatCode="yyyy\-mm">
                  <c:v>42736</c:v>
                </c:pt>
                <c:pt idx="25" c:formatCode="yyyy\-mm">
                  <c:v>42767</c:v>
                </c:pt>
                <c:pt idx="26" c:formatCode="yyyy\-mm">
                  <c:v>42795</c:v>
                </c:pt>
                <c:pt idx="27" c:formatCode="yyyy\-mm">
                  <c:v>42826</c:v>
                </c:pt>
                <c:pt idx="28" c:formatCode="yyyy\-mm">
                  <c:v>42856</c:v>
                </c:pt>
                <c:pt idx="29" c:formatCode="yyyy\-mm">
                  <c:v>42887</c:v>
                </c:pt>
                <c:pt idx="30" c:formatCode="yyyy\-mm">
                  <c:v>42917</c:v>
                </c:pt>
                <c:pt idx="31" c:formatCode="yyyy\-mm">
                  <c:v>42948</c:v>
                </c:pt>
                <c:pt idx="32" c:formatCode="yyyy\-mm">
                  <c:v>42979</c:v>
                </c:pt>
                <c:pt idx="33" c:formatCode="yyyy\-mm">
                  <c:v>43009</c:v>
                </c:pt>
                <c:pt idx="34" c:formatCode="yyyy\-mm">
                  <c:v>43040</c:v>
                </c:pt>
                <c:pt idx="35" c:formatCode="yyyy\-mm">
                  <c:v>43070</c:v>
                </c:pt>
                <c:pt idx="36" c:formatCode="yyyy\-mm">
                  <c:v>43101</c:v>
                </c:pt>
                <c:pt idx="37" c:formatCode="yyyy\-mm">
                  <c:v>43132</c:v>
                </c:pt>
                <c:pt idx="38" c:formatCode="yyyy\-mm">
                  <c:v>43160</c:v>
                </c:pt>
                <c:pt idx="39" c:formatCode="yyyy\-mm">
                  <c:v>43191</c:v>
                </c:pt>
                <c:pt idx="40" c:formatCode="yyyy\-mm">
                  <c:v>43221</c:v>
                </c:pt>
                <c:pt idx="41" c:formatCode="yyyy\-mm">
                  <c:v>43252</c:v>
                </c:pt>
                <c:pt idx="42" c:formatCode="yyyy\-mm">
                  <c:v>43282</c:v>
                </c:pt>
                <c:pt idx="43" c:formatCode="yyyy\-mm">
                  <c:v>43313</c:v>
                </c:pt>
                <c:pt idx="44" c:formatCode="yyyy\-mm">
                  <c:v>43344</c:v>
                </c:pt>
                <c:pt idx="45" c:formatCode="yyyy\-mm">
                  <c:v>43374</c:v>
                </c:pt>
                <c:pt idx="46" c:formatCode="yyyy\-mm">
                  <c:v>43405</c:v>
                </c:pt>
                <c:pt idx="47" c:formatCode="yyyy\-mm">
                  <c:v>43435</c:v>
                </c:pt>
                <c:pt idx="48" c:formatCode="yyyy\-mm">
                  <c:v>43466</c:v>
                </c:pt>
                <c:pt idx="49" c:formatCode="yyyy\-mm">
                  <c:v>43497</c:v>
                </c:pt>
                <c:pt idx="50" c:formatCode="yyyy\-mm">
                  <c:v>43525</c:v>
                </c:pt>
                <c:pt idx="51" c:formatCode="yyyy\-mm">
                  <c:v>43556</c:v>
                </c:pt>
                <c:pt idx="52" c:formatCode="yyyy\-mm">
                  <c:v>43586</c:v>
                </c:pt>
                <c:pt idx="53" c:formatCode="yyyy\-mm">
                  <c:v>43617</c:v>
                </c:pt>
                <c:pt idx="54" c:formatCode="yyyy\-mm">
                  <c:v>43647</c:v>
                </c:pt>
                <c:pt idx="55" c:formatCode="yyyy\-mm">
                  <c:v>43678</c:v>
                </c:pt>
                <c:pt idx="56" c:formatCode="yyyy\-mm">
                  <c:v>43709</c:v>
                </c:pt>
                <c:pt idx="57" c:formatCode="yyyy\-mm">
                  <c:v>43739</c:v>
                </c:pt>
                <c:pt idx="58" c:formatCode="yyyy\-mm">
                  <c:v>43770</c:v>
                </c:pt>
                <c:pt idx="59" c:formatCode="yyyy\-mm">
                  <c:v>43800</c:v>
                </c:pt>
                <c:pt idx="60" c:formatCode="yyyy\-mm">
                  <c:v>43831</c:v>
                </c:pt>
                <c:pt idx="61" c:formatCode="yyyy\-mm">
                  <c:v>43862</c:v>
                </c:pt>
                <c:pt idx="62" c:formatCode="yyyy\-mm">
                  <c:v>43891</c:v>
                </c:pt>
                <c:pt idx="63" c:formatCode="yyyy\-mm">
                  <c:v>43922</c:v>
                </c:pt>
                <c:pt idx="64" c:formatCode="yyyy\-mm">
                  <c:v>43952</c:v>
                </c:pt>
                <c:pt idx="65" c:formatCode="yyyy\-mm">
                  <c:v>43983</c:v>
                </c:pt>
                <c:pt idx="66" c:formatCode="yyyy\-mm">
                  <c:v>44013</c:v>
                </c:pt>
                <c:pt idx="67" c:formatCode="yyyy\-mm">
                  <c:v>44044</c:v>
                </c:pt>
                <c:pt idx="68" c:formatCode="yyyy\-mm">
                  <c:v>44075</c:v>
                </c:pt>
                <c:pt idx="69" c:formatCode="yyyy\-mm">
                  <c:v>44105</c:v>
                </c:pt>
                <c:pt idx="70" c:formatCode="yyyy\-mm">
                  <c:v>44136</c:v>
                </c:pt>
                <c:pt idx="71" c:formatCode="yyyy\-mm">
                  <c:v>44166</c:v>
                </c:pt>
                <c:pt idx="72" c:formatCode="yyyy\-mm">
                  <c:v>44197</c:v>
                </c:pt>
                <c:pt idx="73" c:formatCode="yyyy\-mm">
                  <c:v>44228</c:v>
                </c:pt>
                <c:pt idx="74" c:formatCode="yyyy\-mm">
                  <c:v>44256</c:v>
                </c:pt>
                <c:pt idx="75" c:formatCode="yyyy\-mm">
                  <c:v>44287</c:v>
                </c:pt>
                <c:pt idx="76" c:formatCode="yyyy\-mm">
                  <c:v>44317</c:v>
                </c:pt>
                <c:pt idx="77" c:formatCode="yyyy\-mm">
                  <c:v>44348</c:v>
                </c:pt>
                <c:pt idx="78" c:formatCode="yyyy\-mm">
                  <c:v>44378</c:v>
                </c:pt>
                <c:pt idx="79" c:formatCode="yyyy\-mm">
                  <c:v>44409</c:v>
                </c:pt>
                <c:pt idx="80" c:formatCode="yyyy\-mm">
                  <c:v>44440</c:v>
                </c:pt>
                <c:pt idx="81" c:formatCode="yyyy\-mm">
                  <c:v>44470</c:v>
                </c:pt>
                <c:pt idx="82" c:formatCode="yyyy\-mm">
                  <c:v>44501</c:v>
                </c:pt>
                <c:pt idx="83" c:formatCode="yyyy\-mm">
                  <c:v>44531</c:v>
                </c:pt>
                <c:pt idx="84" c:formatCode="yyyy\-mm">
                  <c:v>44562</c:v>
                </c:pt>
                <c:pt idx="85" c:formatCode="yyyy\-mm">
                  <c:v>44593</c:v>
                </c:pt>
                <c:pt idx="86" c:formatCode="yyyy\-mm">
                  <c:v>44621</c:v>
                </c:pt>
                <c:pt idx="87" c:formatCode="yyyy\-mm">
                  <c:v>44652</c:v>
                </c:pt>
                <c:pt idx="88" c:formatCode="yyyy\-mm">
                  <c:v>44682</c:v>
                </c:pt>
                <c:pt idx="89" c:formatCode="yyyy\-mm">
                  <c:v>44713</c:v>
                </c:pt>
                <c:pt idx="90" c:formatCode="yyyy\-mm">
                  <c:v>44743</c:v>
                </c:pt>
                <c:pt idx="91" c:formatCode="yyyy\-mm">
                  <c:v>44774</c:v>
                </c:pt>
                <c:pt idx="92" c:formatCode="yyyy\-mm">
                  <c:v>44805</c:v>
                </c:pt>
                <c:pt idx="93" c:formatCode="yyyy\-mm">
                  <c:v>44835</c:v>
                </c:pt>
                <c:pt idx="94" c:formatCode="yyyy\-mm">
                  <c:v>44866</c:v>
                </c:pt>
                <c:pt idx="95" c:formatCode="yyyy\-mm">
                  <c:v>44896</c:v>
                </c:pt>
                <c:pt idx="96" c:formatCode="yyyy\-mm">
                  <c:v>44927</c:v>
                </c:pt>
                <c:pt idx="97" c:formatCode="yyyy\-mm">
                  <c:v>44958</c:v>
                </c:pt>
                <c:pt idx="98" c:formatCode="yyyy\-mm">
                  <c:v>44986</c:v>
                </c:pt>
                <c:pt idx="99" c:formatCode="yyyy\-mm">
                  <c:v>45017</c:v>
                </c:pt>
                <c:pt idx="100" c:formatCode="yyyy\-mm">
                  <c:v>45047</c:v>
                </c:pt>
                <c:pt idx="101" c:formatCode="yyyy\-mm">
                  <c:v>45078</c:v>
                </c:pt>
                <c:pt idx="102" c:formatCode="yyyy\-mm">
                  <c:v>45108</c:v>
                </c:pt>
                <c:pt idx="103" c:formatCode="yyyy\-mm">
                  <c:v>45139</c:v>
                </c:pt>
                <c:pt idx="104" c:formatCode="yyyy\-mm">
                  <c:v>45170</c:v>
                </c:pt>
                <c:pt idx="105" c:formatCode="yyyy\-mm">
                  <c:v>45200</c:v>
                </c:pt>
                <c:pt idx="106" c:formatCode="yyyy\-mm">
                  <c:v>45231</c:v>
                </c:pt>
                <c:pt idx="107" c:formatCode="yyyy\-mm">
                  <c:v>45261</c:v>
                </c:pt>
                <c:pt idx="108" c:formatCode="yyyy\-mm">
                  <c:v>45292</c:v>
                </c:pt>
                <c:pt idx="109" c:formatCode="yyyy\-mm">
                  <c:v>45323</c:v>
                </c:pt>
                <c:pt idx="110" c:formatCode="yyyy\-mm">
                  <c:v>45352</c:v>
                </c:pt>
                <c:pt idx="111" c:formatCode="yyyy\-mm">
                  <c:v>45383</c:v>
                </c:pt>
                <c:pt idx="112" c:formatCode="yyyy\-mm">
                  <c:v>45413</c:v>
                </c:pt>
                <c:pt idx="113" c:formatCode="yyyy\-mm">
                  <c:v>45444</c:v>
                </c:pt>
                <c:pt idx="114" c:formatCode="yyyy\-mm">
                  <c:v>45474</c:v>
                </c:pt>
                <c:pt idx="115" c:formatCode="yyyy\-mm">
                  <c:v>45505</c:v>
                </c:pt>
                <c:pt idx="116" c:formatCode="yyyy\-mm">
                  <c:v>45536</c:v>
                </c:pt>
                <c:pt idx="117" c:formatCode="yyyy\-mm">
                  <c:v>45566</c:v>
                </c:pt>
                <c:pt idx="118" c:formatCode="yyyy\-mm">
                  <c:v>45597</c:v>
                </c:pt>
                <c:pt idx="119" c:formatCode="yyyy\-mm">
                  <c:v>45627</c:v>
                </c:pt>
              </c:numCache>
            </c:numRef>
          </c:cat>
          <c:val>
            <c:numRef>
              <c:f>Macro_Indicators!$E$3:$E$122</c:f>
              <c:numCache>
                <c:formatCode>#,##0.0</c:formatCode>
                <c:ptCount val="120"/>
                <c:pt idx="0">
                  <c:v>47.8</c:v>
                </c:pt>
                <c:pt idx="1">
                  <c:v>57.9</c:v>
                </c:pt>
                <c:pt idx="2">
                  <c:v>55.9</c:v>
                </c:pt>
                <c:pt idx="3">
                  <c:v>59.6</c:v>
                </c:pt>
                <c:pt idx="4">
                  <c:v>64.2</c:v>
                </c:pt>
                <c:pt idx="5">
                  <c:v>62</c:v>
                </c:pt>
                <c:pt idx="6">
                  <c:v>56.6</c:v>
                </c:pt>
                <c:pt idx="7">
                  <c:v>46.6</c:v>
                </c:pt>
                <c:pt idx="8">
                  <c:v>47.5</c:v>
                </c:pt>
                <c:pt idx="9">
                  <c:v>48.4</c:v>
                </c:pt>
                <c:pt idx="10">
                  <c:v>44.4</c:v>
                </c:pt>
                <c:pt idx="11">
                  <c:v>38</c:v>
                </c:pt>
                <c:pt idx="12">
                  <c:v>30.7</c:v>
                </c:pt>
                <c:pt idx="13">
                  <c:v>32.2</c:v>
                </c:pt>
                <c:pt idx="14">
                  <c:v>38</c:v>
                </c:pt>
                <c:pt idx="15">
                  <c:v>41.8</c:v>
                </c:pt>
                <c:pt idx="16">
                  <c:v>47.6</c:v>
                </c:pt>
                <c:pt idx="17">
                  <c:v>48</c:v>
                </c:pt>
                <c:pt idx="18">
                  <c:v>44.9</c:v>
                </c:pt>
                <c:pt idx="19">
                  <c:v>47</c:v>
                </c:pt>
                <c:pt idx="20">
                  <c:v>46.9</c:v>
                </c:pt>
                <c:pt idx="21">
                  <c:v>51.4</c:v>
                </c:pt>
                <c:pt idx="22">
                  <c:v>45.9</c:v>
                </c:pt>
                <c:pt idx="23">
                  <c:v>54.9</c:v>
                </c:pt>
                <c:pt idx="24">
                  <c:v>55.6</c:v>
                </c:pt>
                <c:pt idx="25">
                  <c:v>55.7</c:v>
                </c:pt>
                <c:pt idx="26">
                  <c:v>52.6</c:v>
                </c:pt>
                <c:pt idx="27">
                  <c:v>53.2</c:v>
                </c:pt>
                <c:pt idx="28">
                  <c:v>51</c:v>
                </c:pt>
                <c:pt idx="29">
                  <c:v>47.9</c:v>
                </c:pt>
                <c:pt idx="30">
                  <c:v>48.8</c:v>
                </c:pt>
                <c:pt idx="31">
                  <c:v>51.8</c:v>
                </c:pt>
                <c:pt idx="32">
                  <c:v>55.5</c:v>
                </c:pt>
                <c:pt idx="33">
                  <c:v>57.8</c:v>
                </c:pt>
                <c:pt idx="34">
                  <c:v>62.5</c:v>
                </c:pt>
                <c:pt idx="35">
                  <c:v>64.4</c:v>
                </c:pt>
                <c:pt idx="36">
                  <c:v>69.1</c:v>
                </c:pt>
                <c:pt idx="37">
                  <c:v>65</c:v>
                </c:pt>
                <c:pt idx="38">
                  <c:v>66.8</c:v>
                </c:pt>
                <c:pt idx="39">
                  <c:v>72.1</c:v>
                </c:pt>
                <c:pt idx="40">
                  <c:v>76.6</c:v>
                </c:pt>
                <c:pt idx="41">
                  <c:v>74.4</c:v>
                </c:pt>
                <c:pt idx="42">
                  <c:v>74.2</c:v>
                </c:pt>
                <c:pt idx="43">
                  <c:v>72.5</c:v>
                </c:pt>
                <c:pt idx="44">
                  <c:v>78.9</c:v>
                </c:pt>
                <c:pt idx="45">
                  <c:v>81</c:v>
                </c:pt>
                <c:pt idx="46">
                  <c:v>65.1</c:v>
                </c:pt>
                <c:pt idx="47">
                  <c:v>57.3</c:v>
                </c:pt>
                <c:pt idx="48">
                  <c:v>59.4</c:v>
                </c:pt>
                <c:pt idx="49">
                  <c:v>64.3</c:v>
                </c:pt>
                <c:pt idx="50">
                  <c:v>67.2</c:v>
                </c:pt>
                <c:pt idx="51">
                  <c:v>71.2</c:v>
                </c:pt>
                <c:pt idx="52">
                  <c:v>70.7</c:v>
                </c:pt>
                <c:pt idx="53">
                  <c:v>64.4</c:v>
                </c:pt>
                <c:pt idx="54">
                  <c:v>63.9</c:v>
                </c:pt>
                <c:pt idx="55">
                  <c:v>59.3</c:v>
                </c:pt>
                <c:pt idx="56">
                  <c:v>62.3</c:v>
                </c:pt>
                <c:pt idx="57">
                  <c:v>59.7</c:v>
                </c:pt>
                <c:pt idx="58">
                  <c:v>63.2</c:v>
                </c:pt>
                <c:pt idx="59">
                  <c:v>67.3</c:v>
                </c:pt>
                <c:pt idx="60">
                  <c:v>63.7</c:v>
                </c:pt>
                <c:pt idx="61">
                  <c:v>55.7</c:v>
                </c:pt>
                <c:pt idx="62">
                  <c:v>32</c:v>
                </c:pt>
                <c:pt idx="63">
                  <c:v>18.4</c:v>
                </c:pt>
                <c:pt idx="64">
                  <c:v>30.4</c:v>
                </c:pt>
                <c:pt idx="65">
                  <c:v>40.8</c:v>
                </c:pt>
                <c:pt idx="66">
                  <c:v>43.3</c:v>
                </c:pt>
                <c:pt idx="67">
                  <c:v>44.4</c:v>
                </c:pt>
                <c:pt idx="68">
                  <c:v>41</c:v>
                </c:pt>
                <c:pt idx="69">
                  <c:v>40</c:v>
                </c:pt>
                <c:pt idx="70">
                  <c:v>42.5</c:v>
                </c:pt>
                <c:pt idx="71">
                  <c:v>50.2</c:v>
                </c:pt>
                <c:pt idx="72">
                  <c:v>55</c:v>
                </c:pt>
                <c:pt idx="73">
                  <c:v>60.9</c:v>
                </c:pt>
                <c:pt idx="74">
                  <c:v>61</c:v>
                </c:pt>
                <c:pt idx="75">
                  <c:v>63</c:v>
                </c:pt>
                <c:pt idx="76">
                  <c:v>68.5</c:v>
                </c:pt>
                <c:pt idx="77">
                  <c:v>73.1</c:v>
                </c:pt>
                <c:pt idx="78">
                  <c:v>74.5</c:v>
                </c:pt>
                <c:pt idx="79">
                  <c:v>70.7</c:v>
                </c:pt>
                <c:pt idx="80">
                  <c:v>75</c:v>
                </c:pt>
                <c:pt idx="81">
                  <c:v>83.5</c:v>
                </c:pt>
                <c:pt idx="82">
                  <c:v>79.6</c:v>
                </c:pt>
                <c:pt idx="83">
                  <c:v>73.7</c:v>
                </c:pt>
                <c:pt idx="84">
                  <c:v>83.3</c:v>
                </c:pt>
                <c:pt idx="85">
                  <c:v>97.2</c:v>
                </c:pt>
                <c:pt idx="86">
                  <c:v>117.3</c:v>
                </c:pt>
                <c:pt idx="87">
                  <c:v>104.6</c:v>
                </c:pt>
                <c:pt idx="88">
                  <c:v>113.3</c:v>
                </c:pt>
                <c:pt idx="89">
                  <c:v>122.7</c:v>
                </c:pt>
                <c:pt idx="90">
                  <c:v>105.1</c:v>
                </c:pt>
                <c:pt idx="91">
                  <c:v>99.9</c:v>
                </c:pt>
                <c:pt idx="92">
                  <c:v>91.7</c:v>
                </c:pt>
                <c:pt idx="93">
                  <c:v>93.4</c:v>
                </c:pt>
                <c:pt idx="94">
                  <c:v>88.6</c:v>
                </c:pt>
                <c:pt idx="95">
                  <c:v>76.1</c:v>
                </c:pt>
                <c:pt idx="96">
                  <c:v>82.2</c:v>
                </c:pt>
                <c:pt idx="97">
                  <c:v>83</c:v>
                </c:pt>
                <c:pt idx="98">
                  <c:v>79.8</c:v>
                </c:pt>
                <c:pt idx="99">
                  <c:v>84.8</c:v>
                </c:pt>
                <c:pt idx="100">
                  <c:v>75.6</c:v>
                </c:pt>
                <c:pt idx="101">
                  <c:v>74.9</c:v>
                </c:pt>
                <c:pt idx="102">
                  <c:v>79.6</c:v>
                </c:pt>
                <c:pt idx="103">
                  <c:v>85.5</c:v>
                </c:pt>
                <c:pt idx="104">
                  <c:v>93.1</c:v>
                </c:pt>
                <c:pt idx="105">
                  <c:v>91.4</c:v>
                </c:pt>
                <c:pt idx="106">
                  <c:v>83.3</c:v>
                </c:pt>
                <c:pt idx="107">
                  <c:v>77</c:v>
                </c:pt>
                <c:pt idx="108">
                  <c:v>78</c:v>
                </c:pt>
                <c:pt idx="109">
                  <c:v>81.7</c:v>
                </c:pt>
                <c:pt idx="110">
                  <c:v>85.5</c:v>
                </c:pt>
                <c:pt idx="111">
                  <c:v>89</c:v>
                </c:pt>
                <c:pt idx="112">
                  <c:v>83.6</c:v>
                </c:pt>
                <c:pt idx="113">
                  <c:v>85</c:v>
                </c:pt>
                <c:pt idx="114">
                  <c:v>84.5</c:v>
                </c:pt>
                <c:pt idx="115">
                  <c:v>79.7</c:v>
                </c:pt>
                <c:pt idx="116">
                  <c:v>73.9</c:v>
                </c:pt>
                <c:pt idx="117">
                  <c:v>74</c:v>
                </c:pt>
                <c:pt idx="118">
                  <c:v>73.4</c:v>
                </c:pt>
                <c:pt idx="119">
                  <c:v>73.6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4516188"/>
        <c:axId val="14979495"/>
      </c:lineChart>
      <c:dateAx>
        <c:axId val="73377644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</a:p>
        </c:txPr>
        <c:crossAx val="172729274"/>
        <c:crosses val="autoZero"/>
        <c:auto val="1"/>
        <c:lblOffset val="100"/>
        <c:baseTimeUnit val="months"/>
      </c:dateAx>
      <c:valAx>
        <c:axId val="17272927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lt1">
                  <a:lumMod val="90200"/>
                  <a:alpha val="28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</a:p>
        </c:txPr>
        <c:crossAx val="733776445"/>
        <c:crosses val="autoZero"/>
        <c:crossBetween val="between"/>
      </c:valAx>
      <c:dateAx>
        <c:axId val="154516188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</a:p>
        </c:txPr>
        <c:crossAx val="14979495"/>
        <c:crosses val="autoZero"/>
        <c:auto val="1"/>
        <c:lblOffset val="100"/>
        <c:baseTimeUnit val="months"/>
      </c:dateAx>
      <c:valAx>
        <c:axId val="14979495"/>
        <c:scaling>
          <c:orientation val="minMax"/>
        </c:scaling>
        <c:delete val="0"/>
        <c:axPos val="r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</a:p>
        </c:txPr>
        <c:crossAx val="15451618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C9A84C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eeacce-652d-4a6d-b006-a2bf9a92ffa2}"/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>
          <a:solidFill>
            <a:srgbClr val="C9A84C"/>
          </a:solidFill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cap="none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  <a:r>
              <a:rPr sz="1200">
                <a:solidFill>
                  <a:srgbClr val="C9A84C"/>
                </a:solidFill>
              </a:rPr>
              <a:t>Oil Price vs Ships Passing Through Suez Canal</a:t>
            </a:r>
            <a:endParaRPr sz="1200">
              <a:solidFill>
                <a:srgbClr val="C9A84C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'[1]علاقة سعر الصرف بعدد السفن'!$B$3</c:f>
              <c:strCache>
                <c:ptCount val="1"/>
                <c:pt idx="0">
                  <c:v>Brent Oil
(USD/barrel)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trendline>
            <c:spPr>
              <a:ln w="25400" cap="rnd">
                <a:solidFill>
                  <a:srgbClr val="C9A84C">
                    <a:alpha val="50000"/>
                  </a:srgb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19377341428756"/>
                  <c:y val="0.17894516534114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C9A84C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'[1]علاقة سعر الصرف بعدد السفن'!$A$4:$A$123</c:f>
              <c:numCache>
                <c:formatCode>#,##0</c:formatCode>
                <c:ptCount val="120"/>
                <c:pt idx="0">
                  <c:v>1486</c:v>
                </c:pt>
                <c:pt idx="1">
                  <c:v>1413</c:v>
                </c:pt>
                <c:pt idx="2">
                  <c:v>1384</c:v>
                </c:pt>
                <c:pt idx="3">
                  <c:v>1399</c:v>
                </c:pt>
                <c:pt idx="4">
                  <c:v>1442</c:v>
                </c:pt>
                <c:pt idx="5">
                  <c:v>1471</c:v>
                </c:pt>
                <c:pt idx="6">
                  <c:v>1486</c:v>
                </c:pt>
                <c:pt idx="7">
                  <c:v>1501</c:v>
                </c:pt>
                <c:pt idx="8">
                  <c:v>1486</c:v>
                </c:pt>
                <c:pt idx="9">
                  <c:v>1471</c:v>
                </c:pt>
                <c:pt idx="10">
                  <c:v>1471</c:v>
                </c:pt>
                <c:pt idx="11">
                  <c:v>1473</c:v>
                </c:pt>
                <c:pt idx="12">
                  <c:v>1422</c:v>
                </c:pt>
                <c:pt idx="13">
                  <c:v>1352</c:v>
                </c:pt>
                <c:pt idx="14">
                  <c:v>1324</c:v>
                </c:pt>
                <c:pt idx="15">
                  <c:v>1338</c:v>
                </c:pt>
                <c:pt idx="16">
                  <c:v>1380</c:v>
                </c:pt>
                <c:pt idx="17">
                  <c:v>1408</c:v>
                </c:pt>
                <c:pt idx="18">
                  <c:v>1422</c:v>
                </c:pt>
                <c:pt idx="19">
                  <c:v>1435</c:v>
                </c:pt>
                <c:pt idx="20">
                  <c:v>1422</c:v>
                </c:pt>
                <c:pt idx="21">
                  <c:v>1408</c:v>
                </c:pt>
                <c:pt idx="22">
                  <c:v>1408</c:v>
                </c:pt>
                <c:pt idx="23">
                  <c:v>1405</c:v>
                </c:pt>
                <c:pt idx="24">
                  <c:v>1492</c:v>
                </c:pt>
                <c:pt idx="25">
                  <c:v>1419</c:v>
                </c:pt>
                <c:pt idx="26">
                  <c:v>1389</c:v>
                </c:pt>
                <c:pt idx="27">
                  <c:v>1404</c:v>
                </c:pt>
                <c:pt idx="28">
                  <c:v>1448</c:v>
                </c:pt>
                <c:pt idx="29">
                  <c:v>1477</c:v>
                </c:pt>
                <c:pt idx="30">
                  <c:v>1492</c:v>
                </c:pt>
                <c:pt idx="31">
                  <c:v>1506</c:v>
                </c:pt>
                <c:pt idx="32">
                  <c:v>1492</c:v>
                </c:pt>
                <c:pt idx="33">
                  <c:v>1477</c:v>
                </c:pt>
                <c:pt idx="34">
                  <c:v>1477</c:v>
                </c:pt>
                <c:pt idx="35">
                  <c:v>1477</c:v>
                </c:pt>
                <c:pt idx="36">
                  <c:v>1545</c:v>
                </c:pt>
                <c:pt idx="37">
                  <c:v>1469</c:v>
                </c:pt>
                <c:pt idx="38">
                  <c:v>1439</c:v>
                </c:pt>
                <c:pt idx="39">
                  <c:v>1454</c:v>
                </c:pt>
                <c:pt idx="40">
                  <c:v>1499</c:v>
                </c:pt>
                <c:pt idx="41">
                  <c:v>1530</c:v>
                </c:pt>
                <c:pt idx="42">
                  <c:v>1545</c:v>
                </c:pt>
                <c:pt idx="43">
                  <c:v>1560</c:v>
                </c:pt>
                <c:pt idx="44">
                  <c:v>1545</c:v>
                </c:pt>
                <c:pt idx="45">
                  <c:v>1530</c:v>
                </c:pt>
                <c:pt idx="46">
                  <c:v>1530</c:v>
                </c:pt>
                <c:pt idx="47">
                  <c:v>1528</c:v>
                </c:pt>
                <c:pt idx="48">
                  <c:v>1605</c:v>
                </c:pt>
                <c:pt idx="49">
                  <c:v>1526</c:v>
                </c:pt>
                <c:pt idx="50">
                  <c:v>1495</c:v>
                </c:pt>
                <c:pt idx="51">
                  <c:v>1510</c:v>
                </c:pt>
                <c:pt idx="52">
                  <c:v>1558</c:v>
                </c:pt>
                <c:pt idx="53">
                  <c:v>1589</c:v>
                </c:pt>
                <c:pt idx="54">
                  <c:v>1605</c:v>
                </c:pt>
                <c:pt idx="55">
                  <c:v>1621</c:v>
                </c:pt>
                <c:pt idx="56">
                  <c:v>1605</c:v>
                </c:pt>
                <c:pt idx="57">
                  <c:v>1589</c:v>
                </c:pt>
                <c:pt idx="58">
                  <c:v>1589</c:v>
                </c:pt>
                <c:pt idx="59">
                  <c:v>1588</c:v>
                </c:pt>
                <c:pt idx="60">
                  <c:v>1601</c:v>
                </c:pt>
                <c:pt idx="61">
                  <c:v>1522</c:v>
                </c:pt>
                <c:pt idx="62">
                  <c:v>1491</c:v>
                </c:pt>
                <c:pt idx="63">
                  <c:v>1506</c:v>
                </c:pt>
                <c:pt idx="64">
                  <c:v>1553</c:v>
                </c:pt>
                <c:pt idx="65">
                  <c:v>1585</c:v>
                </c:pt>
                <c:pt idx="66">
                  <c:v>1601</c:v>
                </c:pt>
                <c:pt idx="67">
                  <c:v>1616</c:v>
                </c:pt>
                <c:pt idx="68">
                  <c:v>1601</c:v>
                </c:pt>
                <c:pt idx="69">
                  <c:v>1585</c:v>
                </c:pt>
                <c:pt idx="70">
                  <c:v>1585</c:v>
                </c:pt>
                <c:pt idx="71">
                  <c:v>1584</c:v>
                </c:pt>
                <c:pt idx="72">
                  <c:v>1697</c:v>
                </c:pt>
                <c:pt idx="73">
                  <c:v>1614</c:v>
                </c:pt>
                <c:pt idx="74">
                  <c:v>1242</c:v>
                </c:pt>
                <c:pt idx="75">
                  <c:v>1800</c:v>
                </c:pt>
                <c:pt idx="76">
                  <c:v>1780</c:v>
                </c:pt>
                <c:pt idx="77">
                  <c:v>1718</c:v>
                </c:pt>
                <c:pt idx="78">
                  <c:v>1759</c:v>
                </c:pt>
                <c:pt idx="79">
                  <c:v>1780</c:v>
                </c:pt>
                <c:pt idx="80">
                  <c:v>1759</c:v>
                </c:pt>
                <c:pt idx="81">
                  <c:v>1738</c:v>
                </c:pt>
                <c:pt idx="82">
                  <c:v>1718</c:v>
                </c:pt>
                <c:pt idx="83">
                  <c:v>2089</c:v>
                </c:pt>
                <c:pt idx="84">
                  <c:v>2027</c:v>
                </c:pt>
                <c:pt idx="85">
                  <c:v>1928</c:v>
                </c:pt>
                <c:pt idx="86">
                  <c:v>1888</c:v>
                </c:pt>
                <c:pt idx="87">
                  <c:v>1908</c:v>
                </c:pt>
                <c:pt idx="88">
                  <c:v>1968</c:v>
                </c:pt>
                <c:pt idx="89">
                  <c:v>2007</c:v>
                </c:pt>
                <c:pt idx="90">
                  <c:v>2027</c:v>
                </c:pt>
                <c:pt idx="91">
                  <c:v>2047</c:v>
                </c:pt>
                <c:pt idx="92">
                  <c:v>2027</c:v>
                </c:pt>
                <c:pt idx="93">
                  <c:v>2007</c:v>
                </c:pt>
                <c:pt idx="94">
                  <c:v>2007</c:v>
                </c:pt>
                <c:pt idx="95">
                  <c:v>2010</c:v>
                </c:pt>
                <c:pt idx="96">
                  <c:v>2247</c:v>
                </c:pt>
                <c:pt idx="97">
                  <c:v>2137</c:v>
                </c:pt>
                <c:pt idx="98">
                  <c:v>2093</c:v>
                </c:pt>
                <c:pt idx="99">
                  <c:v>2115</c:v>
                </c:pt>
                <c:pt idx="100">
                  <c:v>2181</c:v>
                </c:pt>
                <c:pt idx="101">
                  <c:v>2225</c:v>
                </c:pt>
                <c:pt idx="102">
                  <c:v>2247</c:v>
                </c:pt>
                <c:pt idx="103">
                  <c:v>2269</c:v>
                </c:pt>
                <c:pt idx="104">
                  <c:v>2247</c:v>
                </c:pt>
                <c:pt idx="105">
                  <c:v>2225</c:v>
                </c:pt>
                <c:pt idx="106">
                  <c:v>2225</c:v>
                </c:pt>
                <c:pt idx="107">
                  <c:v>2223</c:v>
                </c:pt>
                <c:pt idx="108">
                  <c:v>1189</c:v>
                </c:pt>
                <c:pt idx="109">
                  <c:v>1123</c:v>
                </c:pt>
                <c:pt idx="110">
                  <c:v>1031</c:v>
                </c:pt>
                <c:pt idx="111">
                  <c:v>951</c:v>
                </c:pt>
                <c:pt idx="112">
                  <c:v>898</c:v>
                </c:pt>
                <c:pt idx="113">
                  <c:v>859</c:v>
                </c:pt>
                <c:pt idx="114">
                  <c:v>1057</c:v>
                </c:pt>
                <c:pt idx="115">
                  <c:v>1163</c:v>
                </c:pt>
                <c:pt idx="116">
                  <c:v>1216</c:v>
                </c:pt>
                <c:pt idx="117">
                  <c:v>1255</c:v>
                </c:pt>
                <c:pt idx="118">
                  <c:v>1229</c:v>
                </c:pt>
                <c:pt idx="119">
                  <c:v>1242</c:v>
                </c:pt>
              </c:numCache>
            </c:numRef>
          </c:xVal>
          <c:yVal>
            <c:numRef>
              <c:f>'[1]علاقة سعر الصرف بعدد السفن'!$B$4:$B$123</c:f>
              <c:numCache>
                <c:formatCode>#,##0.0</c:formatCode>
                <c:ptCount val="120"/>
                <c:pt idx="0">
                  <c:v>47.8</c:v>
                </c:pt>
                <c:pt idx="1">
                  <c:v>57.9</c:v>
                </c:pt>
                <c:pt idx="2">
                  <c:v>55.9</c:v>
                </c:pt>
                <c:pt idx="3">
                  <c:v>59.6</c:v>
                </c:pt>
                <c:pt idx="4">
                  <c:v>64.2</c:v>
                </c:pt>
                <c:pt idx="5">
                  <c:v>62</c:v>
                </c:pt>
                <c:pt idx="6">
                  <c:v>56.6</c:v>
                </c:pt>
                <c:pt idx="7">
                  <c:v>46.6</c:v>
                </c:pt>
                <c:pt idx="8">
                  <c:v>47.5</c:v>
                </c:pt>
                <c:pt idx="9">
                  <c:v>48.4</c:v>
                </c:pt>
                <c:pt idx="10">
                  <c:v>44.4</c:v>
                </c:pt>
                <c:pt idx="11">
                  <c:v>38</c:v>
                </c:pt>
                <c:pt idx="12">
                  <c:v>30.7</c:v>
                </c:pt>
                <c:pt idx="13">
                  <c:v>32.2</c:v>
                </c:pt>
                <c:pt idx="14">
                  <c:v>38</c:v>
                </c:pt>
                <c:pt idx="15">
                  <c:v>41.8</c:v>
                </c:pt>
                <c:pt idx="16">
                  <c:v>47.6</c:v>
                </c:pt>
                <c:pt idx="17">
                  <c:v>48</c:v>
                </c:pt>
                <c:pt idx="18">
                  <c:v>44.9</c:v>
                </c:pt>
                <c:pt idx="19">
                  <c:v>47</c:v>
                </c:pt>
                <c:pt idx="20">
                  <c:v>46.9</c:v>
                </c:pt>
                <c:pt idx="21">
                  <c:v>51.4</c:v>
                </c:pt>
                <c:pt idx="22">
                  <c:v>45.9</c:v>
                </c:pt>
                <c:pt idx="23">
                  <c:v>54.9</c:v>
                </c:pt>
                <c:pt idx="24">
                  <c:v>55.6</c:v>
                </c:pt>
                <c:pt idx="25">
                  <c:v>55.7</c:v>
                </c:pt>
                <c:pt idx="26">
                  <c:v>52.6</c:v>
                </c:pt>
                <c:pt idx="27">
                  <c:v>53.2</c:v>
                </c:pt>
                <c:pt idx="28">
                  <c:v>51</c:v>
                </c:pt>
                <c:pt idx="29">
                  <c:v>47.9</c:v>
                </c:pt>
                <c:pt idx="30">
                  <c:v>48.8</c:v>
                </c:pt>
                <c:pt idx="31">
                  <c:v>51.8</c:v>
                </c:pt>
                <c:pt idx="32">
                  <c:v>55.5</c:v>
                </c:pt>
                <c:pt idx="33">
                  <c:v>57.8</c:v>
                </c:pt>
                <c:pt idx="34">
                  <c:v>62.5</c:v>
                </c:pt>
                <c:pt idx="35">
                  <c:v>64.4</c:v>
                </c:pt>
                <c:pt idx="36">
                  <c:v>69.1</c:v>
                </c:pt>
                <c:pt idx="37">
                  <c:v>65</c:v>
                </c:pt>
                <c:pt idx="38">
                  <c:v>66.8</c:v>
                </c:pt>
                <c:pt idx="39">
                  <c:v>72.1</c:v>
                </c:pt>
                <c:pt idx="40">
                  <c:v>76.6</c:v>
                </c:pt>
                <c:pt idx="41">
                  <c:v>74.4</c:v>
                </c:pt>
                <c:pt idx="42">
                  <c:v>74.2</c:v>
                </c:pt>
                <c:pt idx="43">
                  <c:v>72.5</c:v>
                </c:pt>
                <c:pt idx="44">
                  <c:v>78.9</c:v>
                </c:pt>
                <c:pt idx="45">
                  <c:v>81</c:v>
                </c:pt>
                <c:pt idx="46">
                  <c:v>65.1</c:v>
                </c:pt>
                <c:pt idx="47">
                  <c:v>57.3</c:v>
                </c:pt>
                <c:pt idx="48">
                  <c:v>59.4</c:v>
                </c:pt>
                <c:pt idx="49">
                  <c:v>64.3</c:v>
                </c:pt>
                <c:pt idx="50">
                  <c:v>67.2</c:v>
                </c:pt>
                <c:pt idx="51">
                  <c:v>71.2</c:v>
                </c:pt>
                <c:pt idx="52">
                  <c:v>70.7</c:v>
                </c:pt>
                <c:pt idx="53">
                  <c:v>64.4</c:v>
                </c:pt>
                <c:pt idx="54">
                  <c:v>63.9</c:v>
                </c:pt>
                <c:pt idx="55">
                  <c:v>59.3</c:v>
                </c:pt>
                <c:pt idx="56">
                  <c:v>62.3</c:v>
                </c:pt>
                <c:pt idx="57">
                  <c:v>59.7</c:v>
                </c:pt>
                <c:pt idx="58">
                  <c:v>63.2</c:v>
                </c:pt>
                <c:pt idx="59">
                  <c:v>67.3</c:v>
                </c:pt>
                <c:pt idx="60">
                  <c:v>63.7</c:v>
                </c:pt>
                <c:pt idx="61">
                  <c:v>55.7</c:v>
                </c:pt>
                <c:pt idx="62">
                  <c:v>32</c:v>
                </c:pt>
                <c:pt idx="63">
                  <c:v>18.4</c:v>
                </c:pt>
                <c:pt idx="64">
                  <c:v>30.4</c:v>
                </c:pt>
                <c:pt idx="65">
                  <c:v>40.8</c:v>
                </c:pt>
                <c:pt idx="66">
                  <c:v>43.3</c:v>
                </c:pt>
                <c:pt idx="67">
                  <c:v>44.4</c:v>
                </c:pt>
                <c:pt idx="68">
                  <c:v>41</c:v>
                </c:pt>
                <c:pt idx="69">
                  <c:v>40</c:v>
                </c:pt>
                <c:pt idx="70">
                  <c:v>42.5</c:v>
                </c:pt>
                <c:pt idx="71">
                  <c:v>50.2</c:v>
                </c:pt>
                <c:pt idx="72">
                  <c:v>55</c:v>
                </c:pt>
                <c:pt idx="73">
                  <c:v>60.9</c:v>
                </c:pt>
                <c:pt idx="74">
                  <c:v>61</c:v>
                </c:pt>
                <c:pt idx="75">
                  <c:v>63</c:v>
                </c:pt>
                <c:pt idx="76">
                  <c:v>68.5</c:v>
                </c:pt>
                <c:pt idx="77">
                  <c:v>73.1</c:v>
                </c:pt>
                <c:pt idx="78">
                  <c:v>74.5</c:v>
                </c:pt>
                <c:pt idx="79">
                  <c:v>70.7</c:v>
                </c:pt>
                <c:pt idx="80">
                  <c:v>75</c:v>
                </c:pt>
                <c:pt idx="81">
                  <c:v>83.5</c:v>
                </c:pt>
                <c:pt idx="82">
                  <c:v>79.6</c:v>
                </c:pt>
                <c:pt idx="83">
                  <c:v>73.7</c:v>
                </c:pt>
                <c:pt idx="84">
                  <c:v>83.3</c:v>
                </c:pt>
                <c:pt idx="85">
                  <c:v>97.2</c:v>
                </c:pt>
                <c:pt idx="86">
                  <c:v>117.3</c:v>
                </c:pt>
                <c:pt idx="87">
                  <c:v>104.6</c:v>
                </c:pt>
                <c:pt idx="88">
                  <c:v>113.3</c:v>
                </c:pt>
                <c:pt idx="89">
                  <c:v>122.7</c:v>
                </c:pt>
                <c:pt idx="90">
                  <c:v>105.1</c:v>
                </c:pt>
                <c:pt idx="91">
                  <c:v>99.9</c:v>
                </c:pt>
                <c:pt idx="92">
                  <c:v>91.7</c:v>
                </c:pt>
                <c:pt idx="93">
                  <c:v>93.4</c:v>
                </c:pt>
                <c:pt idx="94">
                  <c:v>88.6</c:v>
                </c:pt>
                <c:pt idx="95">
                  <c:v>76.1</c:v>
                </c:pt>
                <c:pt idx="96">
                  <c:v>82.2</c:v>
                </c:pt>
                <c:pt idx="97">
                  <c:v>83</c:v>
                </c:pt>
                <c:pt idx="98">
                  <c:v>79.8</c:v>
                </c:pt>
                <c:pt idx="99">
                  <c:v>84.8</c:v>
                </c:pt>
                <c:pt idx="100">
                  <c:v>75.6</c:v>
                </c:pt>
                <c:pt idx="101">
                  <c:v>74.9</c:v>
                </c:pt>
                <c:pt idx="102">
                  <c:v>79.6</c:v>
                </c:pt>
                <c:pt idx="103">
                  <c:v>85.5</c:v>
                </c:pt>
                <c:pt idx="104">
                  <c:v>93.1</c:v>
                </c:pt>
                <c:pt idx="105">
                  <c:v>91.4</c:v>
                </c:pt>
                <c:pt idx="106">
                  <c:v>83.3</c:v>
                </c:pt>
                <c:pt idx="107">
                  <c:v>77</c:v>
                </c:pt>
                <c:pt idx="108">
                  <c:v>78</c:v>
                </c:pt>
                <c:pt idx="109">
                  <c:v>81.7</c:v>
                </c:pt>
                <c:pt idx="110">
                  <c:v>85.5</c:v>
                </c:pt>
                <c:pt idx="111">
                  <c:v>89</c:v>
                </c:pt>
                <c:pt idx="112">
                  <c:v>83.6</c:v>
                </c:pt>
                <c:pt idx="113">
                  <c:v>85</c:v>
                </c:pt>
                <c:pt idx="114">
                  <c:v>84.5</c:v>
                </c:pt>
                <c:pt idx="115">
                  <c:v>79.7</c:v>
                </c:pt>
                <c:pt idx="116">
                  <c:v>73.9</c:v>
                </c:pt>
                <c:pt idx="117">
                  <c:v>74</c:v>
                </c:pt>
                <c:pt idx="118">
                  <c:v>73.4</c:v>
                </c:pt>
                <c:pt idx="119">
                  <c:v>73.6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77672"/>
        <c:axId val="703683432"/>
      </c:scatterChart>
      <c:valAx>
        <c:axId val="703677672"/>
        <c:scaling>
          <c:orientation val="minMax"/>
          <c:max val="2300"/>
          <c:min val="7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rgbClr val="C9A84C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>
                    <a:solidFill>
                      <a:srgbClr val="C9A84C"/>
                    </a:solidFill>
                  </a:rPr>
                  <a:t>Ships</a:t>
                </a:r>
                <a:endParaRPr sz="1000">
                  <a:solidFill>
                    <a:srgbClr val="C9A84C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</a:p>
        </c:txPr>
        <c:crossAx val="703683432"/>
        <c:crosses val="autoZero"/>
        <c:crossBetween val="midCat"/>
      </c:valAx>
      <c:valAx>
        <c:axId val="70368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rgbClr val="C9A84C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>
                    <a:solidFill>
                      <a:srgbClr val="C9A84C"/>
                    </a:solidFill>
                  </a:rPr>
                  <a:t>Oil Price</a:t>
                </a:r>
                <a:endParaRPr sz="1000">
                  <a:solidFill>
                    <a:srgbClr val="C9A84C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</a:p>
        </c:txPr>
        <c:crossAx val="703677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29dc61d-56c2-438f-bab4-4a300ff412d6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>
          <a:solidFill>
            <a:srgbClr val="C9A84C"/>
          </a:solidFill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80" b="1" i="0" u="none" strike="noStrike" kern="1200" spc="100" baseline="0">
                <a:solidFill>
                  <a:srgbClr val="C9A84C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80">
                <a:solidFill>
                  <a:srgbClr val="C9A84C"/>
                </a:solidFill>
              </a:rPr>
              <a:t>Suez Canal Revenue Trend (2015–2024)</a:t>
            </a:r>
            <a:endParaRPr lang="ar-EG" sz="1680">
              <a:solidFill>
                <a:srgbClr val="C9A84C"/>
              </a:solidFill>
            </a:endParaRPr>
          </a:p>
          <a:p>
            <a:pPr>
              <a:defRPr lang="en-US" sz="1680" b="1" i="0" u="none" strike="noStrike" kern="1200" spc="100" baseline="0">
                <a:solidFill>
                  <a:srgbClr val="C9A84C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 sz="1680">
              <a:solidFill>
                <a:srgbClr val="C9A84C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Suez_Canal!$B$2</c:f>
              <c:strCache>
                <c:ptCount val="1"/>
                <c:pt idx="0">
                  <c:v>Revenue
(USD M)</c:v>
                </c:pt>
              </c:strCache>
            </c:strRef>
          </c:tx>
          <c:spPr>
            <a:ln w="3492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Suez_Canal!$A$3:$A$122</c:f>
              <c:numCache>
                <c:formatCode>yyyy\-mm</c:formatCode>
                <c:ptCount val="120"/>
                <c:pt idx="0" c:formatCode="yyyy\-mm">
                  <c:v>42005</c:v>
                </c:pt>
                <c:pt idx="1" c:formatCode="yyyy\-mm">
                  <c:v>42036</c:v>
                </c:pt>
                <c:pt idx="2" c:formatCode="yyyy\-mm">
                  <c:v>42064</c:v>
                </c:pt>
                <c:pt idx="3" c:formatCode="yyyy\-mm">
                  <c:v>42095</c:v>
                </c:pt>
                <c:pt idx="4" c:formatCode="yyyy\-mm">
                  <c:v>42125</c:v>
                </c:pt>
                <c:pt idx="5" c:formatCode="yyyy\-mm">
                  <c:v>42156</c:v>
                </c:pt>
                <c:pt idx="6" c:formatCode="yyyy\-mm">
                  <c:v>42186</c:v>
                </c:pt>
                <c:pt idx="7" c:formatCode="yyyy\-mm">
                  <c:v>42217</c:v>
                </c:pt>
                <c:pt idx="8" c:formatCode="yyyy\-mm">
                  <c:v>42248</c:v>
                </c:pt>
                <c:pt idx="9" c:formatCode="yyyy\-mm">
                  <c:v>42278</c:v>
                </c:pt>
                <c:pt idx="10" c:formatCode="yyyy\-mm">
                  <c:v>42309</c:v>
                </c:pt>
                <c:pt idx="11" c:formatCode="yyyy\-mm">
                  <c:v>42339</c:v>
                </c:pt>
                <c:pt idx="12" c:formatCode="yyyy\-mm">
                  <c:v>42370</c:v>
                </c:pt>
                <c:pt idx="13" c:formatCode="yyyy\-mm">
                  <c:v>42401</c:v>
                </c:pt>
                <c:pt idx="14" c:formatCode="yyyy\-mm">
                  <c:v>42430</c:v>
                </c:pt>
                <c:pt idx="15" c:formatCode="yyyy\-mm">
                  <c:v>42461</c:v>
                </c:pt>
                <c:pt idx="16" c:formatCode="yyyy\-mm">
                  <c:v>42491</c:v>
                </c:pt>
                <c:pt idx="17" c:formatCode="yyyy\-mm">
                  <c:v>42522</c:v>
                </c:pt>
                <c:pt idx="18" c:formatCode="yyyy\-mm">
                  <c:v>42552</c:v>
                </c:pt>
                <c:pt idx="19" c:formatCode="yyyy\-mm">
                  <c:v>42583</c:v>
                </c:pt>
                <c:pt idx="20" c:formatCode="yyyy\-mm">
                  <c:v>42614</c:v>
                </c:pt>
                <c:pt idx="21" c:formatCode="yyyy\-mm">
                  <c:v>42644</c:v>
                </c:pt>
                <c:pt idx="22" c:formatCode="yyyy\-mm">
                  <c:v>42675</c:v>
                </c:pt>
                <c:pt idx="23" c:formatCode="yyyy\-mm">
                  <c:v>42705</c:v>
                </c:pt>
                <c:pt idx="24" c:formatCode="yyyy\-mm">
                  <c:v>42736</c:v>
                </c:pt>
                <c:pt idx="25" c:formatCode="yyyy\-mm">
                  <c:v>42767</c:v>
                </c:pt>
                <c:pt idx="26" c:formatCode="yyyy\-mm">
                  <c:v>42795</c:v>
                </c:pt>
                <c:pt idx="27" c:formatCode="yyyy\-mm">
                  <c:v>42826</c:v>
                </c:pt>
                <c:pt idx="28" c:formatCode="yyyy\-mm">
                  <c:v>42856</c:v>
                </c:pt>
                <c:pt idx="29" c:formatCode="yyyy\-mm">
                  <c:v>42887</c:v>
                </c:pt>
                <c:pt idx="30" c:formatCode="yyyy\-mm">
                  <c:v>42917</c:v>
                </c:pt>
                <c:pt idx="31" c:formatCode="yyyy\-mm">
                  <c:v>42948</c:v>
                </c:pt>
                <c:pt idx="32" c:formatCode="yyyy\-mm">
                  <c:v>42979</c:v>
                </c:pt>
                <c:pt idx="33" c:formatCode="yyyy\-mm">
                  <c:v>43009</c:v>
                </c:pt>
                <c:pt idx="34" c:formatCode="yyyy\-mm">
                  <c:v>43040</c:v>
                </c:pt>
                <c:pt idx="35" c:formatCode="yyyy\-mm">
                  <c:v>43070</c:v>
                </c:pt>
                <c:pt idx="36" c:formatCode="yyyy\-mm">
                  <c:v>43101</c:v>
                </c:pt>
                <c:pt idx="37" c:formatCode="yyyy\-mm">
                  <c:v>43132</c:v>
                </c:pt>
                <c:pt idx="38" c:formatCode="yyyy\-mm">
                  <c:v>43160</c:v>
                </c:pt>
                <c:pt idx="39" c:formatCode="yyyy\-mm">
                  <c:v>43191</c:v>
                </c:pt>
                <c:pt idx="40" c:formatCode="yyyy\-mm">
                  <c:v>43221</c:v>
                </c:pt>
                <c:pt idx="41" c:formatCode="yyyy\-mm">
                  <c:v>43252</c:v>
                </c:pt>
                <c:pt idx="42" c:formatCode="yyyy\-mm">
                  <c:v>43282</c:v>
                </c:pt>
                <c:pt idx="43" c:formatCode="yyyy\-mm">
                  <c:v>43313</c:v>
                </c:pt>
                <c:pt idx="44" c:formatCode="yyyy\-mm">
                  <c:v>43344</c:v>
                </c:pt>
                <c:pt idx="45" c:formatCode="yyyy\-mm">
                  <c:v>43374</c:v>
                </c:pt>
                <c:pt idx="46" c:formatCode="yyyy\-mm">
                  <c:v>43405</c:v>
                </c:pt>
                <c:pt idx="47" c:formatCode="yyyy\-mm">
                  <c:v>43435</c:v>
                </c:pt>
                <c:pt idx="48" c:formatCode="yyyy\-mm">
                  <c:v>43466</c:v>
                </c:pt>
                <c:pt idx="49" c:formatCode="yyyy\-mm">
                  <c:v>43497</c:v>
                </c:pt>
                <c:pt idx="50" c:formatCode="yyyy\-mm">
                  <c:v>43525</c:v>
                </c:pt>
                <c:pt idx="51" c:formatCode="yyyy\-mm">
                  <c:v>43556</c:v>
                </c:pt>
                <c:pt idx="52" c:formatCode="yyyy\-mm">
                  <c:v>43586</c:v>
                </c:pt>
                <c:pt idx="53" c:formatCode="yyyy\-mm">
                  <c:v>43617</c:v>
                </c:pt>
                <c:pt idx="54" c:formatCode="yyyy\-mm">
                  <c:v>43647</c:v>
                </c:pt>
                <c:pt idx="55" c:formatCode="yyyy\-mm">
                  <c:v>43678</c:v>
                </c:pt>
                <c:pt idx="56" c:formatCode="yyyy\-mm">
                  <c:v>43709</c:v>
                </c:pt>
                <c:pt idx="57" c:formatCode="yyyy\-mm">
                  <c:v>43739</c:v>
                </c:pt>
                <c:pt idx="58" c:formatCode="yyyy\-mm">
                  <c:v>43770</c:v>
                </c:pt>
                <c:pt idx="59" c:formatCode="yyyy\-mm">
                  <c:v>43800</c:v>
                </c:pt>
                <c:pt idx="60" c:formatCode="yyyy\-mm">
                  <c:v>43831</c:v>
                </c:pt>
                <c:pt idx="61" c:formatCode="yyyy\-mm">
                  <c:v>43862</c:v>
                </c:pt>
                <c:pt idx="62" c:formatCode="yyyy\-mm">
                  <c:v>43891</c:v>
                </c:pt>
                <c:pt idx="63" c:formatCode="yyyy\-mm">
                  <c:v>43922</c:v>
                </c:pt>
                <c:pt idx="64" c:formatCode="yyyy\-mm">
                  <c:v>43952</c:v>
                </c:pt>
                <c:pt idx="65" c:formatCode="yyyy\-mm">
                  <c:v>43983</c:v>
                </c:pt>
                <c:pt idx="66" c:formatCode="yyyy\-mm">
                  <c:v>44013</c:v>
                </c:pt>
                <c:pt idx="67" c:formatCode="yyyy\-mm">
                  <c:v>44044</c:v>
                </c:pt>
                <c:pt idx="68" c:formatCode="yyyy\-mm">
                  <c:v>44075</c:v>
                </c:pt>
                <c:pt idx="69" c:formatCode="yyyy\-mm">
                  <c:v>44105</c:v>
                </c:pt>
                <c:pt idx="70" c:formatCode="yyyy\-mm">
                  <c:v>44136</c:v>
                </c:pt>
                <c:pt idx="71" c:formatCode="yyyy\-mm">
                  <c:v>44166</c:v>
                </c:pt>
                <c:pt idx="72" c:formatCode="yyyy\-mm">
                  <c:v>44197</c:v>
                </c:pt>
                <c:pt idx="73" c:formatCode="yyyy\-mm">
                  <c:v>44228</c:v>
                </c:pt>
                <c:pt idx="74" c:formatCode="yyyy\-mm">
                  <c:v>44256</c:v>
                </c:pt>
                <c:pt idx="75" c:formatCode="yyyy\-mm">
                  <c:v>44287</c:v>
                </c:pt>
                <c:pt idx="76" c:formatCode="yyyy\-mm">
                  <c:v>44317</c:v>
                </c:pt>
                <c:pt idx="77" c:formatCode="yyyy\-mm">
                  <c:v>44348</c:v>
                </c:pt>
                <c:pt idx="78" c:formatCode="yyyy\-mm">
                  <c:v>44378</c:v>
                </c:pt>
                <c:pt idx="79" c:formatCode="yyyy\-mm">
                  <c:v>44409</c:v>
                </c:pt>
                <c:pt idx="80" c:formatCode="yyyy\-mm">
                  <c:v>44440</c:v>
                </c:pt>
                <c:pt idx="81" c:formatCode="yyyy\-mm">
                  <c:v>44470</c:v>
                </c:pt>
                <c:pt idx="82" c:formatCode="yyyy\-mm">
                  <c:v>44501</c:v>
                </c:pt>
                <c:pt idx="83" c:formatCode="yyyy\-mm">
                  <c:v>44531</c:v>
                </c:pt>
                <c:pt idx="84" c:formatCode="yyyy\-mm">
                  <c:v>44562</c:v>
                </c:pt>
                <c:pt idx="85" c:formatCode="yyyy\-mm">
                  <c:v>44593</c:v>
                </c:pt>
                <c:pt idx="86" c:formatCode="yyyy\-mm">
                  <c:v>44621</c:v>
                </c:pt>
                <c:pt idx="87" c:formatCode="yyyy\-mm">
                  <c:v>44652</c:v>
                </c:pt>
                <c:pt idx="88" c:formatCode="yyyy\-mm">
                  <c:v>44682</c:v>
                </c:pt>
                <c:pt idx="89" c:formatCode="yyyy\-mm">
                  <c:v>44713</c:v>
                </c:pt>
                <c:pt idx="90" c:formatCode="yyyy\-mm">
                  <c:v>44743</c:v>
                </c:pt>
                <c:pt idx="91" c:formatCode="yyyy\-mm">
                  <c:v>44774</c:v>
                </c:pt>
                <c:pt idx="92" c:formatCode="yyyy\-mm">
                  <c:v>44805</c:v>
                </c:pt>
                <c:pt idx="93" c:formatCode="yyyy\-mm">
                  <c:v>44835</c:v>
                </c:pt>
                <c:pt idx="94" c:formatCode="yyyy\-mm">
                  <c:v>44866</c:v>
                </c:pt>
                <c:pt idx="95" c:formatCode="yyyy\-mm">
                  <c:v>44896</c:v>
                </c:pt>
                <c:pt idx="96" c:formatCode="yyyy\-mm">
                  <c:v>44927</c:v>
                </c:pt>
                <c:pt idx="97" c:formatCode="yyyy\-mm">
                  <c:v>44958</c:v>
                </c:pt>
                <c:pt idx="98" c:formatCode="yyyy\-mm">
                  <c:v>44986</c:v>
                </c:pt>
                <c:pt idx="99" c:formatCode="yyyy\-mm">
                  <c:v>45017</c:v>
                </c:pt>
                <c:pt idx="100" c:formatCode="yyyy\-mm">
                  <c:v>45047</c:v>
                </c:pt>
                <c:pt idx="101" c:formatCode="yyyy\-mm">
                  <c:v>45078</c:v>
                </c:pt>
                <c:pt idx="102" c:formatCode="yyyy\-mm">
                  <c:v>45108</c:v>
                </c:pt>
                <c:pt idx="103" c:formatCode="yyyy\-mm">
                  <c:v>45139</c:v>
                </c:pt>
                <c:pt idx="104" c:formatCode="yyyy\-mm">
                  <c:v>45170</c:v>
                </c:pt>
                <c:pt idx="105" c:formatCode="yyyy\-mm">
                  <c:v>45200</c:v>
                </c:pt>
                <c:pt idx="106" c:formatCode="yyyy\-mm">
                  <c:v>45231</c:v>
                </c:pt>
                <c:pt idx="107" c:formatCode="yyyy\-mm">
                  <c:v>45261</c:v>
                </c:pt>
                <c:pt idx="108" c:formatCode="yyyy\-mm">
                  <c:v>45292</c:v>
                </c:pt>
                <c:pt idx="109" c:formatCode="yyyy\-mm">
                  <c:v>45323</c:v>
                </c:pt>
                <c:pt idx="110" c:formatCode="yyyy\-mm">
                  <c:v>45352</c:v>
                </c:pt>
                <c:pt idx="111" c:formatCode="yyyy\-mm">
                  <c:v>45383</c:v>
                </c:pt>
                <c:pt idx="112" c:formatCode="yyyy\-mm">
                  <c:v>45413</c:v>
                </c:pt>
                <c:pt idx="113" c:formatCode="yyyy\-mm">
                  <c:v>45444</c:v>
                </c:pt>
                <c:pt idx="114" c:formatCode="yyyy\-mm">
                  <c:v>45474</c:v>
                </c:pt>
                <c:pt idx="115" c:formatCode="yyyy\-mm">
                  <c:v>45505</c:v>
                </c:pt>
                <c:pt idx="116" c:formatCode="yyyy\-mm">
                  <c:v>45536</c:v>
                </c:pt>
                <c:pt idx="117" c:formatCode="yyyy\-mm">
                  <c:v>45566</c:v>
                </c:pt>
                <c:pt idx="118" c:formatCode="yyyy\-mm">
                  <c:v>45597</c:v>
                </c:pt>
                <c:pt idx="119" c:formatCode="yyyy\-mm">
                  <c:v>45627</c:v>
                </c:pt>
              </c:numCache>
            </c:numRef>
          </c:cat>
          <c:val>
            <c:numRef>
              <c:f>Suez_Canal!$B$3:$B$122</c:f>
              <c:numCache>
                <c:formatCode>#,##0.0\ "M"</c:formatCode>
                <c:ptCount val="120"/>
                <c:pt idx="0">
                  <c:v>456.9</c:v>
                </c:pt>
                <c:pt idx="1">
                  <c:v>434.5</c:v>
                </c:pt>
                <c:pt idx="2">
                  <c:v>425.5</c:v>
                </c:pt>
                <c:pt idx="3">
                  <c:v>430</c:v>
                </c:pt>
                <c:pt idx="4">
                  <c:v>443.4</c:v>
                </c:pt>
                <c:pt idx="5">
                  <c:v>452.4</c:v>
                </c:pt>
                <c:pt idx="6">
                  <c:v>456.9</c:v>
                </c:pt>
                <c:pt idx="7">
                  <c:v>461.4</c:v>
                </c:pt>
                <c:pt idx="8">
                  <c:v>456.9</c:v>
                </c:pt>
                <c:pt idx="9">
                  <c:v>452.4</c:v>
                </c:pt>
                <c:pt idx="10">
                  <c:v>452.4</c:v>
                </c:pt>
                <c:pt idx="11">
                  <c:v>452.3</c:v>
                </c:pt>
                <c:pt idx="12">
                  <c:v>416.2</c:v>
                </c:pt>
                <c:pt idx="13">
                  <c:v>395.8</c:v>
                </c:pt>
                <c:pt idx="14">
                  <c:v>387.7</c:v>
                </c:pt>
                <c:pt idx="15">
                  <c:v>391.8</c:v>
                </c:pt>
                <c:pt idx="16">
                  <c:v>404</c:v>
                </c:pt>
                <c:pt idx="17">
                  <c:v>412.2</c:v>
                </c:pt>
                <c:pt idx="18">
                  <c:v>416.2</c:v>
                </c:pt>
                <c:pt idx="19">
                  <c:v>420.3</c:v>
                </c:pt>
                <c:pt idx="20">
                  <c:v>416.2</c:v>
                </c:pt>
                <c:pt idx="21">
                  <c:v>412.2</c:v>
                </c:pt>
                <c:pt idx="22">
                  <c:v>412.2</c:v>
                </c:pt>
                <c:pt idx="23">
                  <c:v>412.2</c:v>
                </c:pt>
                <c:pt idx="24">
                  <c:v>427.2</c:v>
                </c:pt>
                <c:pt idx="25">
                  <c:v>406.3</c:v>
                </c:pt>
                <c:pt idx="26">
                  <c:v>397.9</c:v>
                </c:pt>
                <c:pt idx="27">
                  <c:v>402.1</c:v>
                </c:pt>
                <c:pt idx="28">
                  <c:v>414.6</c:v>
                </c:pt>
                <c:pt idx="29">
                  <c:v>423</c:v>
                </c:pt>
                <c:pt idx="30">
                  <c:v>427.2</c:v>
                </c:pt>
                <c:pt idx="31">
                  <c:v>431.4</c:v>
                </c:pt>
                <c:pt idx="32">
                  <c:v>427.2</c:v>
                </c:pt>
                <c:pt idx="33">
                  <c:v>423</c:v>
                </c:pt>
                <c:pt idx="34">
                  <c:v>423</c:v>
                </c:pt>
                <c:pt idx="35">
                  <c:v>423.1</c:v>
                </c:pt>
                <c:pt idx="36">
                  <c:v>474.7</c:v>
                </c:pt>
                <c:pt idx="37">
                  <c:v>451.5</c:v>
                </c:pt>
                <c:pt idx="38">
                  <c:v>442.1</c:v>
                </c:pt>
                <c:pt idx="39">
                  <c:v>446.8</c:v>
                </c:pt>
                <c:pt idx="40">
                  <c:v>460.8</c:v>
                </c:pt>
                <c:pt idx="41">
                  <c:v>470.1</c:v>
                </c:pt>
                <c:pt idx="42">
                  <c:v>474.7</c:v>
                </c:pt>
                <c:pt idx="43">
                  <c:v>479.4</c:v>
                </c:pt>
                <c:pt idx="44">
                  <c:v>474.7</c:v>
                </c:pt>
                <c:pt idx="45">
                  <c:v>470.1</c:v>
                </c:pt>
                <c:pt idx="46">
                  <c:v>470.1</c:v>
                </c:pt>
                <c:pt idx="47">
                  <c:v>470</c:v>
                </c:pt>
                <c:pt idx="48">
                  <c:v>493.3</c:v>
                </c:pt>
                <c:pt idx="49">
                  <c:v>469.2</c:v>
                </c:pt>
                <c:pt idx="50">
                  <c:v>459.5</c:v>
                </c:pt>
                <c:pt idx="51">
                  <c:v>464.3</c:v>
                </c:pt>
                <c:pt idx="52">
                  <c:v>478.8</c:v>
                </c:pt>
                <c:pt idx="53">
                  <c:v>488.5</c:v>
                </c:pt>
                <c:pt idx="54">
                  <c:v>493.3</c:v>
                </c:pt>
                <c:pt idx="55">
                  <c:v>498.2</c:v>
                </c:pt>
                <c:pt idx="56">
                  <c:v>493.3</c:v>
                </c:pt>
                <c:pt idx="57">
                  <c:v>488.5</c:v>
                </c:pt>
                <c:pt idx="58">
                  <c:v>488.5</c:v>
                </c:pt>
                <c:pt idx="59">
                  <c:v>488.6</c:v>
                </c:pt>
                <c:pt idx="60">
                  <c:v>476.5</c:v>
                </c:pt>
                <c:pt idx="61">
                  <c:v>453.2</c:v>
                </c:pt>
                <c:pt idx="62">
                  <c:v>443.8</c:v>
                </c:pt>
                <c:pt idx="63">
                  <c:v>448.5</c:v>
                </c:pt>
                <c:pt idx="64">
                  <c:v>462.5</c:v>
                </c:pt>
                <c:pt idx="65">
                  <c:v>471.8</c:v>
                </c:pt>
                <c:pt idx="66">
                  <c:v>476.5</c:v>
                </c:pt>
                <c:pt idx="67">
                  <c:v>481.2</c:v>
                </c:pt>
                <c:pt idx="68">
                  <c:v>476.5</c:v>
                </c:pt>
                <c:pt idx="69">
                  <c:v>471.8</c:v>
                </c:pt>
                <c:pt idx="70">
                  <c:v>471.8</c:v>
                </c:pt>
                <c:pt idx="71">
                  <c:v>471.9</c:v>
                </c:pt>
                <c:pt idx="72">
                  <c:v>530</c:v>
                </c:pt>
                <c:pt idx="73">
                  <c:v>504.1</c:v>
                </c:pt>
                <c:pt idx="74">
                  <c:v>387.8</c:v>
                </c:pt>
                <c:pt idx="75">
                  <c:v>562.3</c:v>
                </c:pt>
                <c:pt idx="76">
                  <c:v>555.8</c:v>
                </c:pt>
                <c:pt idx="77">
                  <c:v>536.5</c:v>
                </c:pt>
                <c:pt idx="78">
                  <c:v>549.4</c:v>
                </c:pt>
                <c:pt idx="79">
                  <c:v>555.8</c:v>
                </c:pt>
                <c:pt idx="80">
                  <c:v>549.4</c:v>
                </c:pt>
                <c:pt idx="81">
                  <c:v>542.9</c:v>
                </c:pt>
                <c:pt idx="82">
                  <c:v>536.5</c:v>
                </c:pt>
                <c:pt idx="83">
                  <c:v>523.5</c:v>
                </c:pt>
                <c:pt idx="84">
                  <c:v>674.4</c:v>
                </c:pt>
                <c:pt idx="85">
                  <c:v>641.3</c:v>
                </c:pt>
                <c:pt idx="86">
                  <c:v>628.1</c:v>
                </c:pt>
                <c:pt idx="87">
                  <c:v>634.7</c:v>
                </c:pt>
                <c:pt idx="88">
                  <c:v>654.6</c:v>
                </c:pt>
                <c:pt idx="89">
                  <c:v>667.8</c:v>
                </c:pt>
                <c:pt idx="90">
                  <c:v>674.4</c:v>
                </c:pt>
                <c:pt idx="91">
                  <c:v>681</c:v>
                </c:pt>
                <c:pt idx="92">
                  <c:v>674.4</c:v>
                </c:pt>
                <c:pt idx="93">
                  <c:v>667.8</c:v>
                </c:pt>
                <c:pt idx="94">
                  <c:v>667.8</c:v>
                </c:pt>
                <c:pt idx="95">
                  <c:v>667.7</c:v>
                </c:pt>
                <c:pt idx="96">
                  <c:v>871.2</c:v>
                </c:pt>
                <c:pt idx="97">
                  <c:v>828.5</c:v>
                </c:pt>
                <c:pt idx="98">
                  <c:v>811.5</c:v>
                </c:pt>
                <c:pt idx="99">
                  <c:v>820</c:v>
                </c:pt>
                <c:pt idx="100">
                  <c:v>845.6</c:v>
                </c:pt>
                <c:pt idx="101">
                  <c:v>862.7</c:v>
                </c:pt>
                <c:pt idx="102">
                  <c:v>871.2</c:v>
                </c:pt>
                <c:pt idx="103">
                  <c:v>879.8</c:v>
                </c:pt>
                <c:pt idx="104">
                  <c:v>871.2</c:v>
                </c:pt>
                <c:pt idx="105">
                  <c:v>862.7</c:v>
                </c:pt>
                <c:pt idx="106">
                  <c:v>862.7</c:v>
                </c:pt>
                <c:pt idx="107">
                  <c:v>862.9</c:v>
                </c:pt>
                <c:pt idx="108">
                  <c:v>359.2</c:v>
                </c:pt>
                <c:pt idx="109">
                  <c:v>339.2</c:v>
                </c:pt>
                <c:pt idx="110">
                  <c:v>311.3</c:v>
                </c:pt>
                <c:pt idx="111">
                  <c:v>287.4</c:v>
                </c:pt>
                <c:pt idx="112">
                  <c:v>271.4</c:v>
                </c:pt>
                <c:pt idx="113">
                  <c:v>259.4</c:v>
                </c:pt>
                <c:pt idx="114">
                  <c:v>319.3</c:v>
                </c:pt>
                <c:pt idx="115">
                  <c:v>351.2</c:v>
                </c:pt>
                <c:pt idx="116">
                  <c:v>367.2</c:v>
                </c:pt>
                <c:pt idx="117">
                  <c:v>379.1</c:v>
                </c:pt>
                <c:pt idx="118">
                  <c:v>371.2</c:v>
                </c:pt>
                <c:pt idx="119">
                  <c:v>375.1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"Revenue_12M_MA"</c:f>
              <c:strCache>
                <c:ptCount val="1"/>
                <c:pt idx="0">
                  <c:v>Revenue_12M_MA</c:v>
                </c:pt>
              </c:strCache>
            </c:strRef>
          </c:tx>
          <c:spPr>
            <a:ln w="3492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Suez_Canal!$G$14:$G$122</c:f>
              <c:numCache>
                <c:formatCode>#,##0.0\ "M"</c:formatCode>
                <c:ptCount val="109"/>
                <c:pt idx="0">
                  <c:v>447.916666666667</c:v>
                </c:pt>
                <c:pt idx="1">
                  <c:v>444.525</c:v>
                </c:pt>
                <c:pt idx="2">
                  <c:v>441.3</c:v>
                </c:pt>
                <c:pt idx="3">
                  <c:v>438.15</c:v>
                </c:pt>
                <c:pt idx="4">
                  <c:v>434.966666666667</c:v>
                </c:pt>
                <c:pt idx="5">
                  <c:v>431.683333333333</c:v>
                </c:pt>
                <c:pt idx="6">
                  <c:v>428.333333333333</c:v>
                </c:pt>
                <c:pt idx="7">
                  <c:v>424.941666666667</c:v>
                </c:pt>
                <c:pt idx="8">
                  <c:v>421.516666666667</c:v>
                </c:pt>
                <c:pt idx="9">
                  <c:v>418.125</c:v>
                </c:pt>
                <c:pt idx="10">
                  <c:v>414.775</c:v>
                </c:pt>
                <c:pt idx="11">
                  <c:v>411.425</c:v>
                </c:pt>
                <c:pt idx="12">
                  <c:v>408.083333333333</c:v>
                </c:pt>
                <c:pt idx="13">
                  <c:v>409</c:v>
                </c:pt>
                <c:pt idx="14">
                  <c:v>409.875</c:v>
                </c:pt>
                <c:pt idx="15">
                  <c:v>410.725</c:v>
                </c:pt>
                <c:pt idx="16">
                  <c:v>411.583333333333</c:v>
                </c:pt>
                <c:pt idx="17">
                  <c:v>412.466666666667</c:v>
                </c:pt>
                <c:pt idx="18">
                  <c:v>413.366666666667</c:v>
                </c:pt>
                <c:pt idx="19">
                  <c:v>414.283333333333</c:v>
                </c:pt>
                <c:pt idx="20">
                  <c:v>415.208333333333</c:v>
                </c:pt>
                <c:pt idx="21">
                  <c:v>416.125</c:v>
                </c:pt>
                <c:pt idx="22">
                  <c:v>417.025</c:v>
                </c:pt>
                <c:pt idx="23">
                  <c:v>417.925</c:v>
                </c:pt>
                <c:pt idx="24">
                  <c:v>418.833333333333</c:v>
                </c:pt>
                <c:pt idx="25">
                  <c:v>422.791666666667</c:v>
                </c:pt>
                <c:pt idx="26">
                  <c:v>426.558333333333</c:v>
                </c:pt>
                <c:pt idx="27">
                  <c:v>430.241666666667</c:v>
                </c:pt>
                <c:pt idx="28">
                  <c:v>433.966666666667</c:v>
                </c:pt>
                <c:pt idx="29">
                  <c:v>437.816666666667</c:v>
                </c:pt>
                <c:pt idx="30">
                  <c:v>441.741666666667</c:v>
                </c:pt>
                <c:pt idx="31">
                  <c:v>445.7</c:v>
                </c:pt>
                <c:pt idx="32">
                  <c:v>449.7</c:v>
                </c:pt>
                <c:pt idx="33">
                  <c:v>453.658333333333</c:v>
                </c:pt>
                <c:pt idx="34">
                  <c:v>457.583333333333</c:v>
                </c:pt>
                <c:pt idx="35">
                  <c:v>461.508333333333</c:v>
                </c:pt>
                <c:pt idx="36">
                  <c:v>465.416666666667</c:v>
                </c:pt>
                <c:pt idx="37">
                  <c:v>466.966666666667</c:v>
                </c:pt>
                <c:pt idx="38">
                  <c:v>468.441666666667</c:v>
                </c:pt>
                <c:pt idx="39">
                  <c:v>469.891666666667</c:v>
                </c:pt>
                <c:pt idx="40">
                  <c:v>471.35</c:v>
                </c:pt>
                <c:pt idx="41">
                  <c:v>472.85</c:v>
                </c:pt>
                <c:pt idx="42">
                  <c:v>474.383333333333</c:v>
                </c:pt>
                <c:pt idx="43">
                  <c:v>475.933333333333</c:v>
                </c:pt>
                <c:pt idx="44">
                  <c:v>477.5</c:v>
                </c:pt>
                <c:pt idx="45">
                  <c:v>479.05</c:v>
                </c:pt>
                <c:pt idx="46">
                  <c:v>480.583333333333</c:v>
                </c:pt>
                <c:pt idx="47">
                  <c:v>482.116666666667</c:v>
                </c:pt>
                <c:pt idx="48">
                  <c:v>483.666666666667</c:v>
                </c:pt>
                <c:pt idx="49">
                  <c:v>482.266666666667</c:v>
                </c:pt>
                <c:pt idx="50">
                  <c:v>480.933333333333</c:v>
                </c:pt>
                <c:pt idx="51">
                  <c:v>479.625</c:v>
                </c:pt>
                <c:pt idx="52">
                  <c:v>478.308333333333</c:v>
                </c:pt>
                <c:pt idx="53">
                  <c:v>476.95</c:v>
                </c:pt>
                <c:pt idx="54">
                  <c:v>475.558333333333</c:v>
                </c:pt>
                <c:pt idx="55">
                  <c:v>474.158333333333</c:v>
                </c:pt>
                <c:pt idx="56">
                  <c:v>472.741666666667</c:v>
                </c:pt>
                <c:pt idx="57">
                  <c:v>471.341666666667</c:v>
                </c:pt>
                <c:pt idx="58">
                  <c:v>469.95</c:v>
                </c:pt>
                <c:pt idx="59">
                  <c:v>468.558333333333</c:v>
                </c:pt>
                <c:pt idx="60">
                  <c:v>467.166666666667</c:v>
                </c:pt>
                <c:pt idx="61">
                  <c:v>471.625</c:v>
                </c:pt>
                <c:pt idx="62">
                  <c:v>475.866666666667</c:v>
                </c:pt>
                <c:pt idx="63">
                  <c:v>471.2</c:v>
                </c:pt>
                <c:pt idx="64">
                  <c:v>480.683333333333</c:v>
                </c:pt>
                <c:pt idx="65">
                  <c:v>488.458333333333</c:v>
                </c:pt>
                <c:pt idx="66">
                  <c:v>493.85</c:v>
                </c:pt>
                <c:pt idx="67">
                  <c:v>499.925</c:v>
                </c:pt>
                <c:pt idx="68">
                  <c:v>506.141666666667</c:v>
                </c:pt>
                <c:pt idx="69">
                  <c:v>512.216666666667</c:v>
                </c:pt>
                <c:pt idx="70">
                  <c:v>518.141666666667</c:v>
                </c:pt>
                <c:pt idx="71">
                  <c:v>523.533333333333</c:v>
                </c:pt>
                <c:pt idx="72">
                  <c:v>527.833333333333</c:v>
                </c:pt>
                <c:pt idx="73">
                  <c:v>539.866666666667</c:v>
                </c:pt>
                <c:pt idx="74">
                  <c:v>551.3</c:v>
                </c:pt>
                <c:pt idx="75">
                  <c:v>571.325</c:v>
                </c:pt>
                <c:pt idx="76">
                  <c:v>577.358333333333</c:v>
                </c:pt>
                <c:pt idx="77">
                  <c:v>585.591666666667</c:v>
                </c:pt>
                <c:pt idx="78">
                  <c:v>596.533333333333</c:v>
                </c:pt>
                <c:pt idx="79">
                  <c:v>606.95</c:v>
                </c:pt>
                <c:pt idx="80">
                  <c:v>617.383333333333</c:v>
                </c:pt>
                <c:pt idx="81">
                  <c:v>627.8</c:v>
                </c:pt>
                <c:pt idx="82">
                  <c:v>638.208333333333</c:v>
                </c:pt>
                <c:pt idx="83">
                  <c:v>649.15</c:v>
                </c:pt>
                <c:pt idx="84">
                  <c:v>661.166666666667</c:v>
                </c:pt>
                <c:pt idx="85">
                  <c:v>677.566666666667</c:v>
                </c:pt>
                <c:pt idx="86">
                  <c:v>693.166666666667</c:v>
                </c:pt>
                <c:pt idx="87">
                  <c:v>708.45</c:v>
                </c:pt>
                <c:pt idx="88">
                  <c:v>723.891666666667</c:v>
                </c:pt>
                <c:pt idx="89">
                  <c:v>739.808333333333</c:v>
                </c:pt>
                <c:pt idx="90">
                  <c:v>756.05</c:v>
                </c:pt>
                <c:pt idx="91">
                  <c:v>772.45</c:v>
                </c:pt>
                <c:pt idx="92">
                  <c:v>789.016666666667</c:v>
                </c:pt>
                <c:pt idx="93">
                  <c:v>805.416666666667</c:v>
                </c:pt>
                <c:pt idx="94">
                  <c:v>821.658333333333</c:v>
                </c:pt>
                <c:pt idx="95">
                  <c:v>837.9</c:v>
                </c:pt>
                <c:pt idx="96">
                  <c:v>854.166666666667</c:v>
                </c:pt>
                <c:pt idx="97">
                  <c:v>811.5</c:v>
                </c:pt>
                <c:pt idx="98">
                  <c:v>770.725</c:v>
                </c:pt>
                <c:pt idx="99">
                  <c:v>729.041666666667</c:v>
                </c:pt>
                <c:pt idx="100">
                  <c:v>684.658333333333</c:v>
                </c:pt>
                <c:pt idx="101">
                  <c:v>636.808333333333</c:v>
                </c:pt>
                <c:pt idx="102">
                  <c:v>586.533333333333</c:v>
                </c:pt>
                <c:pt idx="103">
                  <c:v>540.541666666667</c:v>
                </c:pt>
                <c:pt idx="104">
                  <c:v>496.491666666667</c:v>
                </c:pt>
                <c:pt idx="105">
                  <c:v>454.491666666667</c:v>
                </c:pt>
                <c:pt idx="106">
                  <c:v>414.191666666667</c:v>
                </c:pt>
                <c:pt idx="107">
                  <c:v>373.233333333333</c:v>
                </c:pt>
                <c:pt idx="108">
                  <c:v>332.583333333333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26688248"/>
        <c:axId val="526688608"/>
      </c:lineChart>
      <c:dateAx>
        <c:axId val="526688248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</a:p>
        </c:txPr>
        <c:crossAx val="526688608"/>
        <c:crosses val="autoZero"/>
        <c:auto val="1"/>
        <c:lblOffset val="100"/>
        <c:baseTimeUnit val="months"/>
        <c:majorUnit val="1"/>
        <c:majorTimeUnit val="years"/>
        <c:minorUnit val="1"/>
        <c:minorTimeUnit val="years"/>
      </c:dateAx>
      <c:valAx>
        <c:axId val="5266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1" i="0" u="none" strike="noStrike" kern="1200" baseline="0">
                    <a:solidFill>
                      <a:srgbClr val="C9A84C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rgbClr val="C9A84C"/>
                    </a:solidFill>
                  </a:rPr>
                  <a:t>Revenue(USD M)</a:t>
                </a:r>
                <a:endParaRPr sz="1400">
                  <a:solidFill>
                    <a:srgbClr val="C9A84C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\ &quot;M&quot;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rgbClr val="C9A84C"/>
                </a:solidFill>
                <a:latin typeface="+mn-lt"/>
                <a:ea typeface="+mn-ea"/>
                <a:cs typeface="+mn-cs"/>
              </a:defRPr>
            </a:pPr>
          </a:p>
        </c:txPr>
        <c:crossAx val="526688248"/>
        <c:crossesAt val="42005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96ee83-b966-4edd-9c21-164d50a8c33d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9525" cap="flat" cmpd="sng" algn="ctr">
      <a:noFill/>
      <a:prstDash val="solid"/>
      <a:round/>
    </a:ln>
    <a:effectLst/>
  </c:spPr>
  <c:txPr>
    <a:bodyPr/>
    <a:lstStyle/>
    <a:p>
      <a:pPr>
        <a:defRPr lang="en-US" sz="1400">
          <a:solidFill>
            <a:srgbClr val="C9A84C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</xdr:colOff>
      <xdr:row>10</xdr:row>
      <xdr:rowOff>0</xdr:rowOff>
    </xdr:from>
    <xdr:to>
      <xdr:col>17</xdr:col>
      <xdr:colOff>467591</xdr:colOff>
      <xdr:row>24</xdr:row>
      <xdr:rowOff>76200</xdr:rowOff>
    </xdr:to>
    <xdr:graphicFrame>
      <xdr:nvGraphicFramePr>
        <xdr:cNvPr id="2" name="Chart 1"/>
        <xdr:cNvGraphicFramePr/>
      </xdr:nvGraphicFramePr>
      <xdr:xfrm>
        <a:off x="0" y="2514600"/>
        <a:ext cx="108305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17</xdr:col>
      <xdr:colOff>460375</xdr:colOff>
      <xdr:row>40</xdr:row>
      <xdr:rowOff>76200</xdr:rowOff>
    </xdr:to>
    <xdr:graphicFrame>
      <xdr:nvGraphicFramePr>
        <xdr:cNvPr id="4" name="Chart 3"/>
        <xdr:cNvGraphicFramePr/>
      </xdr:nvGraphicFramePr>
      <xdr:xfrm>
        <a:off x="0" y="5562600"/>
        <a:ext cx="108235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9</xdr:row>
      <xdr:rowOff>189865</xdr:rowOff>
    </xdr:from>
    <xdr:to>
      <xdr:col>27</xdr:col>
      <xdr:colOff>33020</xdr:colOff>
      <xdr:row>24</xdr:row>
      <xdr:rowOff>75565</xdr:rowOff>
    </xdr:to>
    <xdr:graphicFrame>
      <xdr:nvGraphicFramePr>
        <xdr:cNvPr id="5" name="Chart 4"/>
        <xdr:cNvGraphicFramePr/>
      </xdr:nvGraphicFramePr>
      <xdr:xfrm>
        <a:off x="10972800" y="2513965"/>
        <a:ext cx="55194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26</xdr:row>
      <xdr:rowOff>120015</xdr:rowOff>
    </xdr:from>
    <xdr:to>
      <xdr:col>27</xdr:col>
      <xdr:colOff>19050</xdr:colOff>
      <xdr:row>40</xdr:row>
      <xdr:rowOff>50800</xdr:rowOff>
    </xdr:to>
    <xdr:graphicFrame>
      <xdr:nvGraphicFramePr>
        <xdr:cNvPr id="6" name="Chart 5"/>
        <xdr:cNvGraphicFramePr/>
      </xdr:nvGraphicFramePr>
      <xdr:xfrm>
        <a:off x="10972800" y="5682615"/>
        <a:ext cx="5505450" cy="2597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438150</xdr:colOff>
      <xdr:row>41</xdr:row>
      <xdr:rowOff>187960</xdr:rowOff>
    </xdr:from>
    <xdr:to>
      <xdr:col>27</xdr:col>
      <xdr:colOff>52705</xdr:colOff>
      <xdr:row>61</xdr:row>
      <xdr:rowOff>118110</xdr:rowOff>
    </xdr:to>
    <xdr:graphicFrame>
      <xdr:nvGraphicFramePr>
        <xdr:cNvPr id="8" name="Chart 7"/>
        <xdr:cNvGraphicFramePr/>
      </xdr:nvGraphicFramePr>
      <xdr:xfrm>
        <a:off x="7143750" y="8608060"/>
        <a:ext cx="9368155" cy="3740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</xdr:colOff>
      <xdr:row>42</xdr:row>
      <xdr:rowOff>0</xdr:rowOff>
    </xdr:from>
    <xdr:to>
      <xdr:col>11</xdr:col>
      <xdr:colOff>190500</xdr:colOff>
      <xdr:row>61</xdr:row>
      <xdr:rowOff>128905</xdr:rowOff>
    </xdr:to>
    <xdr:graphicFrame>
      <xdr:nvGraphicFramePr>
        <xdr:cNvPr id="7" name="Chart 6"/>
        <xdr:cNvGraphicFramePr/>
      </xdr:nvGraphicFramePr>
      <xdr:xfrm>
        <a:off x="9525" y="8610600"/>
        <a:ext cx="6886575" cy="3748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495300</xdr:colOff>
      <xdr:row>2</xdr:row>
      <xdr:rowOff>66675</xdr:rowOff>
    </xdr:from>
    <xdr:ext cx="184731" cy="264560"/>
    <xdr:sp>
      <xdr:nvSpPr>
        <xdr:cNvPr id="5" name="TextBox 4"/>
        <xdr:cNvSpPr txBox="1"/>
      </xdr:nvSpPr>
      <xdr:spPr>
        <a:xfrm>
          <a:off x="3781425" y="85725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259896</xdr:colOff>
      <xdr:row>10</xdr:row>
      <xdr:rowOff>152400</xdr:rowOff>
    </xdr:from>
    <xdr:to>
      <xdr:col>22</xdr:col>
      <xdr:colOff>47625</xdr:colOff>
      <xdr:row>30</xdr:row>
      <xdr:rowOff>76200</xdr:rowOff>
    </xdr:to>
    <xdr:graphicFrame>
      <xdr:nvGraphicFramePr>
        <xdr:cNvPr id="7" name="Chart 6"/>
        <xdr:cNvGraphicFramePr/>
      </xdr:nvGraphicFramePr>
      <xdr:xfrm>
        <a:off x="764540" y="2584450"/>
        <a:ext cx="13370560" cy="3695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426085</xdr:colOff>
      <xdr:row>30</xdr:row>
      <xdr:rowOff>141605</xdr:rowOff>
    </xdr:from>
    <xdr:to>
      <xdr:col>13</xdr:col>
      <xdr:colOff>273685</xdr:colOff>
      <xdr:row>35</xdr:row>
      <xdr:rowOff>13400</xdr:rowOff>
    </xdr:to>
    <xdr:sp>
      <xdr:nvSpPr>
        <xdr:cNvPr id="9" name="Speech Bubble: Oval 8"/>
        <xdr:cNvSpPr/>
      </xdr:nvSpPr>
      <xdr:spPr>
        <a:xfrm rot="10157398">
          <a:off x="7312660" y="6345555"/>
          <a:ext cx="1647825" cy="824230"/>
        </a:xfrm>
        <a:prstGeom prst="wedgeEllipseCallout">
          <a:avLst/>
        </a:prstGeom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11</xdr:col>
      <xdr:colOff>74295</xdr:colOff>
      <xdr:row>31</xdr:row>
      <xdr:rowOff>148590</xdr:rowOff>
    </xdr:from>
    <xdr:ext cx="995144" cy="342786"/>
    <xdr:sp>
      <xdr:nvSpPr>
        <xdr:cNvPr id="10" name="TextBox 9"/>
        <xdr:cNvSpPr txBox="1"/>
      </xdr:nvSpPr>
      <xdr:spPr>
        <a:xfrm>
          <a:off x="7560945" y="6543040"/>
          <a:ext cx="995045" cy="342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/>
            <a:t>COVID-19</a:t>
          </a:r>
          <a:endParaRPr lang="en-US" sz="1600"/>
        </a:p>
      </xdr:txBody>
    </xdr:sp>
    <xdr:clientData/>
  </xdr:oneCellAnchor>
  <xdr:twoCellAnchor>
    <xdr:from>
      <xdr:col>18</xdr:col>
      <xdr:colOff>97155</xdr:colOff>
      <xdr:row>31</xdr:row>
      <xdr:rowOff>34290</xdr:rowOff>
    </xdr:from>
    <xdr:to>
      <xdr:col>20</xdr:col>
      <xdr:colOff>554355</xdr:colOff>
      <xdr:row>35</xdr:row>
      <xdr:rowOff>100965</xdr:rowOff>
    </xdr:to>
    <xdr:sp>
      <xdr:nvSpPr>
        <xdr:cNvPr id="11" name="Speech Bubble: Oval 10"/>
        <xdr:cNvSpPr/>
      </xdr:nvSpPr>
      <xdr:spPr>
        <a:xfrm rot="10157398">
          <a:off x="11784330" y="6428740"/>
          <a:ext cx="1657350" cy="828675"/>
        </a:xfrm>
        <a:prstGeom prst="wedgeEllipseCallout">
          <a:avLst/>
        </a:prstGeom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532765</xdr:colOff>
      <xdr:row>31</xdr:row>
      <xdr:rowOff>165100</xdr:rowOff>
    </xdr:from>
    <xdr:ext cx="885825" cy="843693"/>
    <xdr:sp>
      <xdr:nvSpPr>
        <xdr:cNvPr id="12" name="TextBox 11"/>
        <xdr:cNvSpPr txBox="1"/>
      </xdr:nvSpPr>
      <xdr:spPr>
        <a:xfrm>
          <a:off x="12219940" y="6559550"/>
          <a:ext cx="885825" cy="843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600">
              <a:solidFill>
                <a:schemeClr val="tx1"/>
              </a:solidFill>
              <a:latin typeface="+mn-lt"/>
              <a:ea typeface="+mn-ea"/>
              <a:cs typeface="+mn-cs"/>
            </a:rPr>
            <a:t>Red Sea Crisis</a:t>
          </a:r>
          <a:endParaRPr lang="en-US" sz="16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600"/>
        </a:p>
      </xdr:txBody>
    </xdr:sp>
    <xdr:clientData/>
  </xdr:oneCellAnchor>
  <xdr:oneCellAnchor>
    <xdr:from>
      <xdr:col>1</xdr:col>
      <xdr:colOff>1236980</xdr:colOff>
      <xdr:row>37</xdr:row>
      <xdr:rowOff>182245</xdr:rowOff>
    </xdr:from>
    <xdr:ext cx="10651490" cy="1212215"/>
    <xdr:sp>
      <xdr:nvSpPr>
        <xdr:cNvPr id="13" name="TextBox 12"/>
        <xdr:cNvSpPr txBox="1"/>
      </xdr:nvSpPr>
      <xdr:spPr>
        <a:xfrm>
          <a:off x="1741805" y="7719695"/>
          <a:ext cx="10651490" cy="1212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/>
            <a:t>أظهرت البيانات أن أزمة البحر الأحمر في عام2024 كانت الأكثر تأثيرًا على إيرادات قناة السويس مقارنة بجائحة كوفيد19 في عام 2020 فقد سجلت الإيرادات انخفاضًا حادًا بلغ نحو 61% مقارنة </a:t>
          </a:r>
          <a:r>
            <a:rPr lang="ar-EG" sz="2000" baseline="0"/>
            <a:t> بإنخفاض 3% خلال الجائحة</a:t>
          </a:r>
          <a:r>
            <a:rPr lang="en-US" sz="2000"/>
            <a:t>، مما يشير إلى أن اضطرابات الملاحة في البحر الأحمر شكلت أكبر صدمة للقناة خلال فترة الدراسة.</a:t>
          </a:r>
          <a:endParaRPr lang="en-US" sz="20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Suez_Canal_Egypt_Trade_Dataset%20-%20Cop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README"/>
      <sheetName val="Suez_Canal"/>
      <sheetName val="علاقة سعر الصرف بعدد السفن"/>
      <sheetName val="الصادرات والتعويم"/>
      <sheetName val="Sheet1"/>
      <sheetName val="Analysis"/>
      <sheetName val="Suez Canal Dashboard"/>
      <sheetName val="Trade Pivot"/>
      <sheetName val="Foreign_Trade"/>
      <sheetName val="Macro_Indicators"/>
      <sheetName val="Events"/>
      <sheetName val="شوية لعب"/>
    </sheetNames>
    <sheetDataSet>
      <sheetData sheetId="0"/>
      <sheetData sheetId="1"/>
      <sheetData sheetId="2"/>
      <sheetData sheetId="3">
        <row r="3">
          <cell r="B3" t="str">
            <v>Brent Oil
(USD/barrel)</v>
          </cell>
        </row>
        <row r="4">
          <cell r="A4">
            <v>1486</v>
          </cell>
          <cell r="B4">
            <v>47.8</v>
          </cell>
        </row>
        <row r="5">
          <cell r="A5">
            <v>1413</v>
          </cell>
          <cell r="B5">
            <v>57.9</v>
          </cell>
        </row>
        <row r="6">
          <cell r="A6">
            <v>1384</v>
          </cell>
          <cell r="B6">
            <v>55.9</v>
          </cell>
        </row>
        <row r="7">
          <cell r="A7">
            <v>1399</v>
          </cell>
          <cell r="B7">
            <v>59.6</v>
          </cell>
        </row>
        <row r="8">
          <cell r="A8">
            <v>1442</v>
          </cell>
          <cell r="B8">
            <v>64.2</v>
          </cell>
        </row>
        <row r="9">
          <cell r="A9">
            <v>1471</v>
          </cell>
          <cell r="B9">
            <v>62</v>
          </cell>
        </row>
        <row r="10">
          <cell r="A10">
            <v>1486</v>
          </cell>
          <cell r="B10">
            <v>56.6</v>
          </cell>
        </row>
        <row r="11">
          <cell r="A11">
            <v>1501</v>
          </cell>
          <cell r="B11">
            <v>46.6</v>
          </cell>
        </row>
        <row r="12">
          <cell r="A12">
            <v>1486</v>
          </cell>
          <cell r="B12">
            <v>47.5</v>
          </cell>
        </row>
        <row r="13">
          <cell r="A13">
            <v>1471</v>
          </cell>
          <cell r="B13">
            <v>48.4</v>
          </cell>
        </row>
        <row r="14">
          <cell r="A14">
            <v>1471</v>
          </cell>
          <cell r="B14">
            <v>44.4</v>
          </cell>
        </row>
        <row r="15">
          <cell r="A15">
            <v>1473</v>
          </cell>
          <cell r="B15">
            <v>38</v>
          </cell>
        </row>
        <row r="16">
          <cell r="A16">
            <v>1422</v>
          </cell>
          <cell r="B16">
            <v>30.7</v>
          </cell>
        </row>
        <row r="17">
          <cell r="A17">
            <v>1352</v>
          </cell>
          <cell r="B17">
            <v>32.2</v>
          </cell>
        </row>
        <row r="18">
          <cell r="A18">
            <v>1324</v>
          </cell>
          <cell r="B18">
            <v>38</v>
          </cell>
        </row>
        <row r="19">
          <cell r="A19">
            <v>1338</v>
          </cell>
          <cell r="B19">
            <v>41.8</v>
          </cell>
        </row>
        <row r="20">
          <cell r="A20">
            <v>1380</v>
          </cell>
          <cell r="B20">
            <v>47.6</v>
          </cell>
        </row>
        <row r="21">
          <cell r="A21">
            <v>1408</v>
          </cell>
          <cell r="B21">
            <v>48</v>
          </cell>
        </row>
        <row r="22">
          <cell r="A22">
            <v>1422</v>
          </cell>
          <cell r="B22">
            <v>44.9</v>
          </cell>
        </row>
        <row r="23">
          <cell r="A23">
            <v>1435</v>
          </cell>
          <cell r="B23">
            <v>47</v>
          </cell>
        </row>
        <row r="24">
          <cell r="A24">
            <v>1422</v>
          </cell>
          <cell r="B24">
            <v>46.9</v>
          </cell>
        </row>
        <row r="25">
          <cell r="A25">
            <v>1408</v>
          </cell>
          <cell r="B25">
            <v>51.4</v>
          </cell>
        </row>
        <row r="26">
          <cell r="A26">
            <v>1408</v>
          </cell>
          <cell r="B26">
            <v>45.9</v>
          </cell>
        </row>
        <row r="27">
          <cell r="A27">
            <v>1405</v>
          </cell>
          <cell r="B27">
            <v>54.9</v>
          </cell>
        </row>
        <row r="28">
          <cell r="A28">
            <v>1492</v>
          </cell>
          <cell r="B28">
            <v>55.6</v>
          </cell>
        </row>
        <row r="29">
          <cell r="A29">
            <v>1419</v>
          </cell>
          <cell r="B29">
            <v>55.7</v>
          </cell>
        </row>
        <row r="30">
          <cell r="A30">
            <v>1389</v>
          </cell>
          <cell r="B30">
            <v>52.6</v>
          </cell>
        </row>
        <row r="31">
          <cell r="A31">
            <v>1404</v>
          </cell>
          <cell r="B31">
            <v>53.2</v>
          </cell>
        </row>
        <row r="32">
          <cell r="A32">
            <v>1448</v>
          </cell>
          <cell r="B32">
            <v>51</v>
          </cell>
        </row>
        <row r="33">
          <cell r="A33">
            <v>1477</v>
          </cell>
          <cell r="B33">
            <v>47.9</v>
          </cell>
        </row>
        <row r="34">
          <cell r="A34">
            <v>1492</v>
          </cell>
          <cell r="B34">
            <v>48.8</v>
          </cell>
        </row>
        <row r="35">
          <cell r="A35">
            <v>1506</v>
          </cell>
          <cell r="B35">
            <v>51.8</v>
          </cell>
        </row>
        <row r="36">
          <cell r="A36">
            <v>1492</v>
          </cell>
          <cell r="B36">
            <v>55.5</v>
          </cell>
        </row>
        <row r="37">
          <cell r="A37">
            <v>1477</v>
          </cell>
          <cell r="B37">
            <v>57.8</v>
          </cell>
        </row>
        <row r="38">
          <cell r="A38">
            <v>1477</v>
          </cell>
          <cell r="B38">
            <v>62.5</v>
          </cell>
        </row>
        <row r="39">
          <cell r="A39">
            <v>1477</v>
          </cell>
          <cell r="B39">
            <v>64.4</v>
          </cell>
        </row>
        <row r="40">
          <cell r="A40">
            <v>1545</v>
          </cell>
          <cell r="B40">
            <v>69.1</v>
          </cell>
        </row>
        <row r="41">
          <cell r="A41">
            <v>1469</v>
          </cell>
          <cell r="B41">
            <v>65</v>
          </cell>
        </row>
        <row r="42">
          <cell r="A42">
            <v>1439</v>
          </cell>
          <cell r="B42">
            <v>66.8</v>
          </cell>
        </row>
        <row r="43">
          <cell r="A43">
            <v>1454</v>
          </cell>
          <cell r="B43">
            <v>72.1</v>
          </cell>
        </row>
        <row r="44">
          <cell r="A44">
            <v>1499</v>
          </cell>
          <cell r="B44">
            <v>76.6</v>
          </cell>
        </row>
        <row r="45">
          <cell r="A45">
            <v>1530</v>
          </cell>
          <cell r="B45">
            <v>74.4</v>
          </cell>
        </row>
        <row r="46">
          <cell r="A46">
            <v>1545</v>
          </cell>
          <cell r="B46">
            <v>74.2</v>
          </cell>
        </row>
        <row r="47">
          <cell r="A47">
            <v>1560</v>
          </cell>
          <cell r="B47">
            <v>72.5</v>
          </cell>
        </row>
        <row r="48">
          <cell r="A48">
            <v>1545</v>
          </cell>
          <cell r="B48">
            <v>78.9</v>
          </cell>
        </row>
        <row r="49">
          <cell r="A49">
            <v>1530</v>
          </cell>
          <cell r="B49">
            <v>81</v>
          </cell>
        </row>
        <row r="50">
          <cell r="A50">
            <v>1530</v>
          </cell>
          <cell r="B50">
            <v>65.1</v>
          </cell>
        </row>
        <row r="51">
          <cell r="A51">
            <v>1528</v>
          </cell>
          <cell r="B51">
            <v>57.3</v>
          </cell>
        </row>
        <row r="52">
          <cell r="A52">
            <v>1605</v>
          </cell>
          <cell r="B52">
            <v>59.4</v>
          </cell>
        </row>
        <row r="53">
          <cell r="A53">
            <v>1526</v>
          </cell>
          <cell r="B53">
            <v>64.3</v>
          </cell>
        </row>
        <row r="54">
          <cell r="A54">
            <v>1495</v>
          </cell>
          <cell r="B54">
            <v>67.2</v>
          </cell>
        </row>
        <row r="55">
          <cell r="A55">
            <v>1510</v>
          </cell>
          <cell r="B55">
            <v>71.2</v>
          </cell>
        </row>
        <row r="56">
          <cell r="A56">
            <v>1558</v>
          </cell>
          <cell r="B56">
            <v>70.7</v>
          </cell>
        </row>
        <row r="57">
          <cell r="A57">
            <v>1589</v>
          </cell>
          <cell r="B57">
            <v>64.4</v>
          </cell>
        </row>
        <row r="58">
          <cell r="A58">
            <v>1605</v>
          </cell>
          <cell r="B58">
            <v>63.9</v>
          </cell>
        </row>
        <row r="59">
          <cell r="A59">
            <v>1621</v>
          </cell>
          <cell r="B59">
            <v>59.3</v>
          </cell>
        </row>
        <row r="60">
          <cell r="A60">
            <v>1605</v>
          </cell>
          <cell r="B60">
            <v>62.3</v>
          </cell>
        </row>
        <row r="61">
          <cell r="A61">
            <v>1589</v>
          </cell>
          <cell r="B61">
            <v>59.7</v>
          </cell>
        </row>
        <row r="62">
          <cell r="A62">
            <v>1589</v>
          </cell>
          <cell r="B62">
            <v>63.2</v>
          </cell>
        </row>
        <row r="63">
          <cell r="A63">
            <v>1588</v>
          </cell>
          <cell r="B63">
            <v>67.3</v>
          </cell>
        </row>
        <row r="64">
          <cell r="A64">
            <v>1601</v>
          </cell>
          <cell r="B64">
            <v>63.7</v>
          </cell>
        </row>
        <row r="65">
          <cell r="A65">
            <v>1522</v>
          </cell>
          <cell r="B65">
            <v>55.7</v>
          </cell>
        </row>
        <row r="66">
          <cell r="A66">
            <v>1491</v>
          </cell>
          <cell r="B66">
            <v>32</v>
          </cell>
        </row>
        <row r="67">
          <cell r="A67">
            <v>1506</v>
          </cell>
          <cell r="B67">
            <v>18.4</v>
          </cell>
        </row>
        <row r="68">
          <cell r="A68">
            <v>1553</v>
          </cell>
          <cell r="B68">
            <v>30.4</v>
          </cell>
        </row>
        <row r="69">
          <cell r="A69">
            <v>1585</v>
          </cell>
          <cell r="B69">
            <v>40.8</v>
          </cell>
        </row>
        <row r="70">
          <cell r="A70">
            <v>1601</v>
          </cell>
          <cell r="B70">
            <v>43.3</v>
          </cell>
        </row>
        <row r="71">
          <cell r="A71">
            <v>1616</v>
          </cell>
          <cell r="B71">
            <v>44.4</v>
          </cell>
        </row>
        <row r="72">
          <cell r="A72">
            <v>1601</v>
          </cell>
          <cell r="B72">
            <v>41</v>
          </cell>
        </row>
        <row r="73">
          <cell r="A73">
            <v>1585</v>
          </cell>
          <cell r="B73">
            <v>40</v>
          </cell>
        </row>
        <row r="74">
          <cell r="A74">
            <v>1585</v>
          </cell>
          <cell r="B74">
            <v>42.5</v>
          </cell>
        </row>
        <row r="75">
          <cell r="A75">
            <v>1584</v>
          </cell>
          <cell r="B75">
            <v>50.2</v>
          </cell>
        </row>
        <row r="76">
          <cell r="A76">
            <v>1697</v>
          </cell>
          <cell r="B76">
            <v>55</v>
          </cell>
        </row>
        <row r="77">
          <cell r="A77">
            <v>1614</v>
          </cell>
          <cell r="B77">
            <v>60.9</v>
          </cell>
        </row>
        <row r="78">
          <cell r="A78">
            <v>1242</v>
          </cell>
          <cell r="B78">
            <v>61</v>
          </cell>
        </row>
        <row r="79">
          <cell r="A79">
            <v>1800</v>
          </cell>
          <cell r="B79">
            <v>63</v>
          </cell>
        </row>
        <row r="80">
          <cell r="A80">
            <v>1780</v>
          </cell>
          <cell r="B80">
            <v>68.5</v>
          </cell>
        </row>
        <row r="81">
          <cell r="A81">
            <v>1718</v>
          </cell>
          <cell r="B81">
            <v>73.1</v>
          </cell>
        </row>
        <row r="82">
          <cell r="A82">
            <v>1759</v>
          </cell>
          <cell r="B82">
            <v>74.5</v>
          </cell>
        </row>
        <row r="83">
          <cell r="A83">
            <v>1780</v>
          </cell>
          <cell r="B83">
            <v>70.7</v>
          </cell>
        </row>
        <row r="84">
          <cell r="A84">
            <v>1759</v>
          </cell>
          <cell r="B84">
            <v>75</v>
          </cell>
        </row>
        <row r="85">
          <cell r="A85">
            <v>1738</v>
          </cell>
          <cell r="B85">
            <v>83.5</v>
          </cell>
        </row>
        <row r="86">
          <cell r="A86">
            <v>1718</v>
          </cell>
          <cell r="B86">
            <v>79.6</v>
          </cell>
        </row>
        <row r="87">
          <cell r="A87">
            <v>2089</v>
          </cell>
          <cell r="B87">
            <v>73.7</v>
          </cell>
        </row>
        <row r="88">
          <cell r="A88">
            <v>2027</v>
          </cell>
          <cell r="B88">
            <v>83.3</v>
          </cell>
        </row>
        <row r="89">
          <cell r="A89">
            <v>1928</v>
          </cell>
          <cell r="B89">
            <v>97.2</v>
          </cell>
        </row>
        <row r="90">
          <cell r="A90">
            <v>1888</v>
          </cell>
          <cell r="B90">
            <v>117.3</v>
          </cell>
        </row>
        <row r="91">
          <cell r="A91">
            <v>1908</v>
          </cell>
          <cell r="B91">
            <v>104.6</v>
          </cell>
        </row>
        <row r="92">
          <cell r="A92">
            <v>1968</v>
          </cell>
          <cell r="B92">
            <v>113.3</v>
          </cell>
        </row>
        <row r="93">
          <cell r="A93">
            <v>2007</v>
          </cell>
          <cell r="B93">
            <v>122.7</v>
          </cell>
        </row>
        <row r="94">
          <cell r="A94">
            <v>2027</v>
          </cell>
          <cell r="B94">
            <v>105.1</v>
          </cell>
        </row>
        <row r="95">
          <cell r="A95">
            <v>2047</v>
          </cell>
          <cell r="B95">
            <v>99.9</v>
          </cell>
        </row>
        <row r="96">
          <cell r="A96">
            <v>2027</v>
          </cell>
          <cell r="B96">
            <v>91.7</v>
          </cell>
        </row>
        <row r="97">
          <cell r="A97">
            <v>2007</v>
          </cell>
          <cell r="B97">
            <v>93.4</v>
          </cell>
        </row>
        <row r="98">
          <cell r="A98">
            <v>2007</v>
          </cell>
          <cell r="B98">
            <v>88.6</v>
          </cell>
        </row>
        <row r="99">
          <cell r="A99">
            <v>2010</v>
          </cell>
          <cell r="B99">
            <v>76.1</v>
          </cell>
        </row>
        <row r="100">
          <cell r="A100">
            <v>2247</v>
          </cell>
          <cell r="B100">
            <v>82.2</v>
          </cell>
        </row>
        <row r="101">
          <cell r="A101">
            <v>2137</v>
          </cell>
          <cell r="B101">
            <v>83</v>
          </cell>
        </row>
        <row r="102">
          <cell r="A102">
            <v>2093</v>
          </cell>
          <cell r="B102">
            <v>79.8</v>
          </cell>
        </row>
        <row r="103">
          <cell r="A103">
            <v>2115</v>
          </cell>
          <cell r="B103">
            <v>84.8</v>
          </cell>
        </row>
        <row r="104">
          <cell r="A104">
            <v>2181</v>
          </cell>
          <cell r="B104">
            <v>75.6</v>
          </cell>
        </row>
        <row r="105">
          <cell r="A105">
            <v>2225</v>
          </cell>
          <cell r="B105">
            <v>74.9</v>
          </cell>
        </row>
        <row r="106">
          <cell r="A106">
            <v>2247</v>
          </cell>
          <cell r="B106">
            <v>79.6</v>
          </cell>
        </row>
        <row r="107">
          <cell r="A107">
            <v>2269</v>
          </cell>
          <cell r="B107">
            <v>85.5</v>
          </cell>
        </row>
        <row r="108">
          <cell r="A108">
            <v>2247</v>
          </cell>
          <cell r="B108">
            <v>93.1</v>
          </cell>
        </row>
        <row r="109">
          <cell r="A109">
            <v>2225</v>
          </cell>
          <cell r="B109">
            <v>91.4</v>
          </cell>
        </row>
        <row r="110">
          <cell r="A110">
            <v>2225</v>
          </cell>
          <cell r="B110">
            <v>83.3</v>
          </cell>
        </row>
        <row r="111">
          <cell r="A111">
            <v>2223</v>
          </cell>
          <cell r="B111">
            <v>77</v>
          </cell>
        </row>
        <row r="112">
          <cell r="A112">
            <v>1189</v>
          </cell>
          <cell r="B112">
            <v>78</v>
          </cell>
        </row>
        <row r="113">
          <cell r="A113">
            <v>1123</v>
          </cell>
          <cell r="B113">
            <v>81.7</v>
          </cell>
        </row>
        <row r="114">
          <cell r="A114">
            <v>1031</v>
          </cell>
          <cell r="B114">
            <v>85.5</v>
          </cell>
        </row>
        <row r="115">
          <cell r="A115">
            <v>951</v>
          </cell>
          <cell r="B115">
            <v>89</v>
          </cell>
        </row>
        <row r="116">
          <cell r="A116">
            <v>898</v>
          </cell>
          <cell r="B116">
            <v>83.6</v>
          </cell>
        </row>
        <row r="117">
          <cell r="A117">
            <v>859</v>
          </cell>
          <cell r="B117">
            <v>85</v>
          </cell>
        </row>
        <row r="118">
          <cell r="A118">
            <v>1057</v>
          </cell>
          <cell r="B118">
            <v>84.5</v>
          </cell>
        </row>
        <row r="119">
          <cell r="A119">
            <v>1163</v>
          </cell>
          <cell r="B119">
            <v>79.7</v>
          </cell>
        </row>
        <row r="120">
          <cell r="A120">
            <v>1216</v>
          </cell>
          <cell r="B120">
            <v>73.9</v>
          </cell>
        </row>
        <row r="121">
          <cell r="A121">
            <v>1255</v>
          </cell>
          <cell r="B121">
            <v>74</v>
          </cell>
        </row>
        <row r="122">
          <cell r="A122">
            <v>1229</v>
          </cell>
          <cell r="B122">
            <v>73.4</v>
          </cell>
        </row>
        <row r="123">
          <cell r="A123">
            <v>1242</v>
          </cell>
          <cell r="B123">
            <v>73.6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93.096478588" refreshedBy="hp" recordCount="120">
  <cacheSource type="worksheet">
    <worksheetSource name="Table3"/>
  </cacheSource>
  <cacheFields count="10">
    <cacheField name="Date" numFmtId="178">
      <sharedItems containsSemiMixedTypes="0" containsString="0" containsNonDate="0" containsDate="1" minDate="2015-01-01T00:00:00" maxDate="2024-12-01T00:00:00" count="120"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</cacheField>
    <cacheField name="Exports_x000a_(USD M)" numFmtId="181"/>
    <cacheField name="Imports_x000a_(USD M)" numFmtId="181"/>
    <cacheField name="Trade Balance_x000a_(USD M)" numFmtId="182"/>
    <cacheField name="Trade Coverage_x000a_Ratio (%)" numFmtId="183"/>
    <cacheField name="Data_x000a_Quality" numFmtId="0"/>
    <cacheField name="Months (Date)" numFmtId="0" databaseField="0">
      <fieldGroup base="0">
        <rangePr groupBy="months" startDate="2015-01-01T00:00:00" endDate="2024-12-02T00:00:00" groupInterval="1"/>
        <groupItems count="14">
          <s v="&lt;1/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4"/>
        </groupItems>
      </fieldGroup>
    </cacheField>
    <cacheField name="Quarters (Date)" numFmtId="0" databaseField="0">
      <fieldGroup base="0">
        <rangePr groupBy="quarters" startDate="2015-01-01T00:00:00" endDate="2024-12-02T00:00:00" groupInterval="1"/>
        <groupItems count="6">
          <s v="&lt;1/1/2015"/>
          <s v="Qtr1"/>
          <s v="Qtr2"/>
          <s v="Qtr3"/>
          <s v="Qtr4"/>
          <s v="&gt;12/2/2024"/>
        </groupItems>
      </fieldGroup>
    </cacheField>
    <cacheField name="Years (Date)" numFmtId="0" databaseField="0">
      <fieldGroup base="0">
        <rangePr groupBy="years" startDate="2015-01-01T00:00:00" endDate="2024-12-02T00:00:00" groupInterval="1"/>
        <groupItems count="12">
          <s v="&lt;1/1/2015"/>
          <s v="2015"/>
          <s v="2016"/>
          <s v="2017"/>
          <s v="2018"/>
          <s v="2019"/>
          <s v="2020"/>
          <s v="2021"/>
          <s v="2022"/>
          <s v="2023"/>
          <s v="2024"/>
          <s v="&gt;12/2/2024"/>
        </groupItems>
      </fieldGroup>
    </cacheField>
    <cacheField name="Trade Coverage " numFmtId="0" formula="'Exports_x000a_(USD M)'/'Imports_x000a_(USD M)'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  <r>
    <x v="429496729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>
  <location ref="A3:E13" firstHeaderRow="0" firstDataRow="1" firstDataCol="1"/>
  <pivotFields count="10">
    <pivotField axis="axisRow" numFmtId="178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dataField="1" numFmtId="181" showAll="0"/>
    <pivotField dataField="1" numFmtId="181" showAll="0"/>
    <pivotField dataField="1" numFmtId="182" showAll="0"/>
    <pivotField numFmtId="183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  <pivotField dataField="1" dragToCol="0" dragToPage="0" dragToRow="0" defaultSubtotal="0" showAll="0"/>
  </pivotFields>
  <rowFields count="4">
    <field x="8"/>
    <field x="7"/>
    <field x="6"/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Exports_x000a_(USD M)" fld="1" baseField="0" baseItem="0" numFmtId="181"/>
    <dataField name="Sum of Imports_x000a_(USD M)" fld="2" baseField="0" baseItem="0" numFmtId="181"/>
    <dataField name="Sum of Trade Balance_x000a_(USD M)" fld="3" baseField="0" baseItem="0" numFmtId="182"/>
    <dataField name="Sum of Trade Coverage " fld="9" baseField="0" baseItem="0" numFmtId="9"/>
  </dataFields>
  <formats count="1">
    <format dxfId="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2:G122" totalsRowShown="0">
  <autoFilter xmlns:etc="http://www.wps.cn/officeDocument/2017/etCustomData" ref="A2:G122" etc:filterBottomFollowUsedRange="0"/>
  <tableColumns count="7">
    <tableColumn id="1" name="Date" dataDxfId="2"/>
    <tableColumn id="2" name="Revenue&#10;(USD M)" dataDxfId="3"/>
    <tableColumn id="3" name="Ships&#10;(count)" dataDxfId="4"/>
    <tableColumn id="4" name="Net Tonnage&#10;(M tons)" dataDxfId="5"/>
    <tableColumn id="5" name="Avg Revenue&#10;Per Ship (USD)" dataDxfId="6">
      <calculatedColumnFormula>(B3*1000000)/C3</calculatedColumnFormula>
    </tableColumn>
    <tableColumn id="6" name="Data&#10;Quality" dataDxfId="7"/>
    <tableColumn id="7" name="Revenue_12M_M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F122" totalsRowShown="0">
  <autoFilter xmlns:etc="http://www.wps.cn/officeDocument/2017/etCustomData" ref="A2:F122" etc:filterBottomFollowUsedRange="0"/>
  <tableColumns count="6">
    <tableColumn id="1" name="Date" dataDxfId="9"/>
    <tableColumn id="2" name="Exports&#10;(USD M)" dataDxfId="10"/>
    <tableColumn id="3" name="Imports&#10;(USD M)" dataDxfId="11"/>
    <tableColumn id="4" name="Trade Balance&#10;(USD M)" dataDxfId="12">
      <calculatedColumnFormula>B3-C3</calculatedColumnFormula>
    </tableColumn>
    <tableColumn id="5" name="Trade Coverage&#10;Ratio (%)" dataDxfId="13">
      <calculatedColumnFormula>B3/C3</calculatedColumnFormula>
    </tableColumn>
    <tableColumn id="6" name="Data&#10;Quality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2:F122" totalsRowShown="0">
  <autoFilter xmlns:etc="http://www.wps.cn/officeDocument/2017/etCustomData" ref="A2:F122" etc:filterBottomFollowUsedRange="0"/>
  <tableColumns count="6">
    <tableColumn id="1" name="Date" dataDxfId="17"/>
    <tableColumn id="2" name="USD/EGP&#10;Exchange Rate" dataDxfId="18"/>
    <tableColumn id="3" name="CPI Inflation&#10;YoY (%)" dataDxfId="19"/>
    <tableColumn id="4" name="Foreign Reserves&#10;(USD Billion)" dataDxfId="20"/>
    <tableColumn id="5" name="Brent Oil&#10;(USD/barrel)" dataDxfId="21"/>
    <tableColumn id="6" name="Data&#10;Quality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AI41"/>
  <sheetViews>
    <sheetView showGridLines="0" zoomScale="80" zoomScaleNormal="80" topLeftCell="A26" workbookViewId="0">
      <selection activeCell="Z7" sqref="Z7"/>
    </sheetView>
  </sheetViews>
  <sheetFormatPr defaultColWidth="9" defaultRowHeight="15"/>
  <cols>
    <col min="1" max="16384" width="9.14285714285714" style="154"/>
  </cols>
  <sheetData>
    <row r="1" ht="47.25" spans="1:27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</row>
    <row r="2" ht="15.75"/>
    <row r="5" ht="15.75" spans="1:27">
      <c r="D5" s="156" t="s">
        <v>1</v>
      </c>
      <c r="E5" s="157"/>
      <c r="F5" s="158"/>
      <c r="H5" s="156" t="s">
        <v>2</v>
      </c>
      <c r="I5" s="157"/>
      <c r="J5" s="158"/>
      <c r="L5" s="156" t="s">
        <v>3</v>
      </c>
      <c r="M5" s="157"/>
      <c r="N5" s="158"/>
      <c r="P5" s="159" t="s">
        <v>4</v>
      </c>
      <c r="Q5" s="160"/>
      <c r="R5" s="161"/>
      <c r="T5" s="162" t="s">
        <v>5</v>
      </c>
      <c r="U5" s="157"/>
      <c r="V5" s="158"/>
    </row>
    <row r="6" spans="1:27">
      <c r="D6" s="163"/>
      <c r="E6" s="164"/>
      <c r="F6" s="165"/>
      <c r="H6" s="166"/>
      <c r="I6" s="167"/>
      <c r="J6" s="168"/>
      <c r="L6" s="166"/>
      <c r="M6" s="167"/>
      <c r="N6" s="168"/>
      <c r="P6" s="166"/>
      <c r="Q6" s="167"/>
      <c r="R6" s="168"/>
      <c r="T6" s="163"/>
      <c r="U6" s="164"/>
      <c r="V6" s="165"/>
    </row>
    <row r="7" ht="28.5" spans="1:27">
      <c r="D7" s="169" t="s">
        <v>6</v>
      </c>
      <c r="E7" s="170"/>
      <c r="F7" s="171"/>
      <c r="H7" s="172">
        <v>-0.61</v>
      </c>
      <c r="I7" s="173"/>
      <c r="J7" s="174"/>
      <c r="L7" s="175">
        <v>0.397</v>
      </c>
      <c r="M7" s="176"/>
      <c r="N7" s="177"/>
      <c r="P7" s="178" t="s">
        <v>7</v>
      </c>
      <c r="Q7" s="179"/>
      <c r="R7" s="180"/>
      <c r="T7" s="181">
        <v>0.93</v>
      </c>
      <c r="U7" s="182"/>
      <c r="V7" s="183"/>
    </row>
    <row r="8" spans="1:27">
      <c r="D8" s="163"/>
      <c r="E8" s="164"/>
      <c r="F8" s="165"/>
      <c r="H8" s="166"/>
      <c r="I8" s="167"/>
      <c r="J8" s="168"/>
      <c r="L8" s="166"/>
      <c r="M8" s="167"/>
      <c r="N8" s="168"/>
      <c r="P8" s="166"/>
      <c r="Q8" s="167"/>
      <c r="R8" s="168"/>
      <c r="T8" s="163"/>
      <c r="U8" s="164"/>
      <c r="V8" s="165"/>
    </row>
    <row r="9" ht="15.75" spans="1:27">
      <c r="D9" s="184" t="s">
        <v>8</v>
      </c>
      <c r="E9" s="185"/>
      <c r="F9" s="186"/>
      <c r="H9" s="184" t="s">
        <v>9</v>
      </c>
      <c r="I9" s="185"/>
      <c r="J9" s="186"/>
      <c r="L9" s="187">
        <v>45139</v>
      </c>
      <c r="M9" s="188"/>
      <c r="N9" s="189"/>
      <c r="P9" s="190" t="s">
        <v>10</v>
      </c>
      <c r="Q9" s="191"/>
      <c r="R9" s="192"/>
      <c r="T9" s="193">
        <v>2016</v>
      </c>
      <c r="U9" s="194"/>
      <c r="V9" s="195"/>
    </row>
    <row r="11" spans="1:27">
      <c r="A11" s="196"/>
      <c r="B11" s="196"/>
      <c r="C11" s="196"/>
      <c r="D11" s="196"/>
      <c r="E11" s="196"/>
      <c r="F11" s="196"/>
    </row>
    <row r="12" spans="1:27">
      <c r="A12" s="196"/>
      <c r="B12" s="196"/>
      <c r="C12" s="196"/>
      <c r="D12" s="196"/>
      <c r="E12" s="196"/>
      <c r="F12" s="196"/>
    </row>
    <row r="13" spans="1:27">
      <c r="A13" s="196"/>
      <c r="B13" s="196"/>
      <c r="C13" s="196"/>
      <c r="D13" s="196"/>
      <c r="E13" s="196"/>
      <c r="F13" s="196"/>
    </row>
    <row r="14" spans="1:27">
      <c r="A14" s="196"/>
      <c r="B14" s="196"/>
      <c r="C14" s="196"/>
      <c r="D14" s="196"/>
      <c r="E14" s="196"/>
      <c r="F14" s="196"/>
    </row>
    <row r="15" spans="1:27">
      <c r="A15" s="196"/>
      <c r="B15" s="196"/>
      <c r="C15" s="196"/>
      <c r="D15" s="196"/>
      <c r="E15" s="196"/>
      <c r="F15" s="196"/>
    </row>
    <row r="16" spans="1:27">
      <c r="A16" s="196"/>
      <c r="B16" s="196"/>
      <c r="C16" s="196"/>
      <c r="D16" s="196"/>
      <c r="E16" s="196"/>
      <c r="F16" s="196"/>
    </row>
    <row r="17" spans="1:6">
      <c r="A17" s="196"/>
      <c r="B17" s="196"/>
      <c r="C17" s="196"/>
      <c r="D17" s="196"/>
      <c r="E17" s="196"/>
      <c r="F17" s="196"/>
    </row>
    <row r="18" spans="1:6">
      <c r="A18" s="196"/>
      <c r="B18" s="196"/>
      <c r="C18" s="196"/>
      <c r="D18" s="196"/>
      <c r="E18" s="196"/>
      <c r="F18" s="196"/>
    </row>
    <row r="19" spans="1:6">
      <c r="A19" s="196"/>
      <c r="B19" s="196"/>
      <c r="C19" s="196"/>
      <c r="D19" s="196"/>
      <c r="E19" s="196"/>
      <c r="F19" s="196"/>
    </row>
    <row r="20" spans="1:6">
      <c r="A20" s="196"/>
      <c r="B20" s="196"/>
      <c r="C20" s="196"/>
      <c r="D20" s="196"/>
      <c r="E20" s="196"/>
      <c r="F20" s="196"/>
    </row>
    <row r="21" spans="1:6">
      <c r="A21" s="196"/>
      <c r="B21" s="196"/>
      <c r="C21" s="196"/>
      <c r="D21" s="196"/>
      <c r="E21" s="196"/>
      <c r="F21" s="196"/>
    </row>
    <row r="22" spans="1:6">
      <c r="A22" s="196"/>
      <c r="B22" s="196"/>
      <c r="C22" s="196"/>
      <c r="D22" s="196"/>
      <c r="E22" s="196"/>
      <c r="F22" s="196"/>
    </row>
    <row r="41" spans="35:35">
      <c r="AI41" s="154" t="s">
        <v>11</v>
      </c>
    </row>
  </sheetData>
  <mergeCells count="26">
    <mergeCell ref="A1:AA1"/>
    <mergeCell ref="D5:F5"/>
    <mergeCell ref="H5:J5"/>
    <mergeCell ref="L5:N5"/>
    <mergeCell ref="P5:R5"/>
    <mergeCell ref="T5:V5"/>
    <mergeCell ref="D6:F6"/>
    <mergeCell ref="H6:J6"/>
    <mergeCell ref="L6:N6"/>
    <mergeCell ref="P6:R6"/>
    <mergeCell ref="T6:V6"/>
    <mergeCell ref="D7:F7"/>
    <mergeCell ref="H7:J7"/>
    <mergeCell ref="L7:N7"/>
    <mergeCell ref="P7:R7"/>
    <mergeCell ref="T7:V7"/>
    <mergeCell ref="D8:F8"/>
    <mergeCell ref="H8:J8"/>
    <mergeCell ref="L8:N8"/>
    <mergeCell ref="P8:R8"/>
    <mergeCell ref="T8:V8"/>
    <mergeCell ref="D9:F9"/>
    <mergeCell ref="H9:J9"/>
    <mergeCell ref="L9:N9"/>
    <mergeCell ref="P9:R9"/>
    <mergeCell ref="T9:V9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P11"/>
  <sheetViews>
    <sheetView showGridLines="0" zoomScale="80" zoomScaleNormal="80" workbookViewId="0">
      <selection activeCell="AA17" sqref="AA17"/>
    </sheetView>
  </sheetViews>
  <sheetFormatPr defaultColWidth="9" defaultRowHeight="15"/>
  <cols>
    <col min="1" max="1" width="7.57142857142857" customWidth="1"/>
    <col min="2" max="2" width="23.7142857142857" customWidth="1"/>
  </cols>
  <sheetData>
    <row r="2" ht="47.25" spans="2:42">
      <c r="B2" s="137" t="s">
        <v>12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8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</row>
    <row r="3" ht="13" customHeight="1"/>
    <row r="4" hidden="1"/>
    <row r="5" ht="23.25" spans="2:42">
      <c r="J5" s="140" t="s">
        <v>13</v>
      </c>
      <c r="K5" s="141"/>
      <c r="L5" s="142"/>
      <c r="M5" s="143" t="s">
        <v>13</v>
      </c>
      <c r="N5" s="141"/>
      <c r="O5" s="142"/>
    </row>
    <row r="6" ht="23.25" spans="2:42">
      <c r="J6" s="144"/>
      <c r="K6" s="145"/>
      <c r="L6" s="146"/>
      <c r="M6" s="144"/>
      <c r="N6" s="145"/>
      <c r="O6" s="146"/>
    </row>
    <row r="7" ht="23.25" spans="2:42">
      <c r="J7" s="147">
        <f>-61%</f>
        <v>-0.61</v>
      </c>
      <c r="K7" s="148"/>
      <c r="L7" s="149"/>
      <c r="M7" s="147">
        <f>-3%</f>
        <v>-0.03</v>
      </c>
      <c r="N7" s="148"/>
      <c r="O7" s="149"/>
    </row>
    <row r="8" ht="23.25" spans="2:42">
      <c r="J8" s="144"/>
      <c r="K8" s="145"/>
      <c r="L8" s="146"/>
      <c r="M8" s="144"/>
      <c r="N8" s="145"/>
      <c r="O8" s="146"/>
    </row>
    <row r="9" ht="23.25" spans="2:42">
      <c r="J9" s="150" t="s">
        <v>9</v>
      </c>
      <c r="K9" s="151"/>
      <c r="L9" s="152"/>
      <c r="M9" s="153" t="s">
        <v>14</v>
      </c>
      <c r="N9" s="151"/>
      <c r="O9" s="152"/>
    </row>
    <row r="10" ht="12" customHeight="1"/>
    <row r="11" hidden="1"/>
  </sheetData>
  <mergeCells count="11">
    <mergeCell ref="B2:U2"/>
    <mergeCell ref="J5:L5"/>
    <mergeCell ref="M5:O5"/>
    <mergeCell ref="J6:L6"/>
    <mergeCell ref="M6:O6"/>
    <mergeCell ref="J7:L7"/>
    <mergeCell ref="M7:O7"/>
    <mergeCell ref="J8:L8"/>
    <mergeCell ref="M8:O8"/>
    <mergeCell ref="J9:L9"/>
    <mergeCell ref="M9:O9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B1:W17"/>
  <sheetViews>
    <sheetView showGridLines="0" workbookViewId="0">
      <selection activeCell="D20" sqref="D20"/>
    </sheetView>
  </sheetViews>
  <sheetFormatPr defaultColWidth="9.14285714285714" defaultRowHeight="15"/>
  <cols>
    <col min="4" max="4" width="26.6952380952381" customWidth="1"/>
    <col min="5" max="5" width="31.7142857142857" customWidth="1"/>
    <col min="6" max="6" width="21.7142857142857" customWidth="1"/>
    <col min="7" max="7" width="45.8571428571429" customWidth="1"/>
  </cols>
  <sheetData>
    <row r="1" ht="46.5" spans="2:23">
      <c r="B1" s="121"/>
      <c r="C1" s="121"/>
      <c r="D1" s="122" t="s">
        <v>15</v>
      </c>
      <c r="E1" s="122"/>
      <c r="F1" s="122"/>
      <c r="G1" s="122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</row>
    <row r="3" ht="23.25" spans="2:23">
      <c r="D3" s="124" t="s">
        <v>16</v>
      </c>
      <c r="E3" s="124" t="s">
        <v>17</v>
      </c>
      <c r="F3" s="124" t="s">
        <v>18</v>
      </c>
      <c r="G3" s="124" t="s">
        <v>19</v>
      </c>
    </row>
    <row r="4" ht="18.75" spans="2:23">
      <c r="D4" s="125">
        <v>42675</v>
      </c>
      <c r="E4" s="126" t="s">
        <v>20</v>
      </c>
      <c r="F4" s="127" t="s">
        <v>21</v>
      </c>
      <c r="G4" s="126" t="s">
        <v>22</v>
      </c>
    </row>
    <row r="5" ht="18.75" spans="2:23">
      <c r="D5" s="125">
        <v>44256</v>
      </c>
      <c r="E5" s="126" t="s">
        <v>23</v>
      </c>
      <c r="F5" s="128" t="s">
        <v>24</v>
      </c>
      <c r="G5" s="126" t="s">
        <v>25</v>
      </c>
    </row>
    <row r="6" ht="18.75" spans="2:23">
      <c r="D6" s="125">
        <v>45200</v>
      </c>
      <c r="E6" s="126" t="s">
        <v>26</v>
      </c>
      <c r="F6" s="129" t="s">
        <v>27</v>
      </c>
      <c r="G6" s="126" t="s">
        <v>28</v>
      </c>
    </row>
    <row r="7" ht="18.75" spans="2:23">
      <c r="D7" s="125">
        <v>45352</v>
      </c>
      <c r="E7" s="126" t="s">
        <v>29</v>
      </c>
      <c r="F7" s="130" t="s">
        <v>21</v>
      </c>
      <c r="G7" s="126" t="s">
        <v>30</v>
      </c>
    </row>
    <row r="10" ht="46.5" spans="2:23">
      <c r="B10" s="121"/>
      <c r="C10" s="121"/>
      <c r="D10" s="122" t="s">
        <v>31</v>
      </c>
      <c r="E10" s="122"/>
      <c r="F10" s="122"/>
      <c r="G10" s="121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</row>
    <row r="11" ht="13" hidden="1" customHeight="1"/>
    <row r="12" ht="16" customHeight="1"/>
    <row r="13" ht="23.25" spans="2:23">
      <c r="D13" s="131" t="s">
        <v>32</v>
      </c>
      <c r="E13" s="131" t="s">
        <v>33</v>
      </c>
      <c r="F13" s="131" t="s">
        <v>34</v>
      </c>
    </row>
    <row r="14" ht="21" customHeight="1" spans="2:23">
      <c r="D14" s="132" t="s">
        <v>35</v>
      </c>
      <c r="E14" s="133" t="s">
        <v>36</v>
      </c>
      <c r="F14" s="132" t="s">
        <v>37</v>
      </c>
    </row>
    <row r="15" ht="18.75" spans="2:23">
      <c r="D15" s="132" t="s">
        <v>38</v>
      </c>
      <c r="E15" s="134">
        <v>1598.60833333333</v>
      </c>
      <c r="F15" s="132" t="s">
        <v>37</v>
      </c>
    </row>
    <row r="16" ht="18.75" spans="2:23">
      <c r="D16" s="132" t="s">
        <v>39</v>
      </c>
      <c r="E16" s="135" t="s">
        <v>40</v>
      </c>
      <c r="F16" s="132" t="s">
        <v>37</v>
      </c>
    </row>
    <row r="17" ht="18.75" spans="4:6">
      <c r="D17" s="132" t="s">
        <v>41</v>
      </c>
      <c r="E17" s="136">
        <v>5.51376146788991</v>
      </c>
      <c r="F17" s="132" t="s">
        <v>42</v>
      </c>
    </row>
  </sheetData>
  <mergeCells count="2">
    <mergeCell ref="D1:G1"/>
    <mergeCell ref="D10:F10"/>
  </mergeCells>
  <conditionalFormatting sqref="F4:F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1"/>
  <sheetViews>
    <sheetView tabSelected="1" workbookViewId="0">
      <selection activeCell="I16" sqref="I16"/>
    </sheetView>
  </sheetViews>
  <sheetFormatPr defaultColWidth="9" defaultRowHeight="15"/>
  <cols>
    <col min="10" max="10" width="5" customWidth="1"/>
    <col min="11" max="11" width="9.14285714285714" customWidth="1"/>
    <col min="12" max="12" width="7.85714285714286" customWidth="1"/>
    <col min="13" max="13" width="8.42857142857143" customWidth="1"/>
    <col min="14" max="14" width="12" customWidth="1"/>
  </cols>
  <sheetData>
    <row r="1" ht="75" spans="1:14">
      <c r="A1" s="2" t="s">
        <v>16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14">
      <c r="A2" s="104">
        <v>42005</v>
      </c>
      <c r="B2" s="42">
        <v>456.9</v>
      </c>
      <c r="C2" s="42">
        <v>1555.5</v>
      </c>
      <c r="D2" s="42">
        <v>5584.5</v>
      </c>
      <c r="E2" s="11">
        <v>7.63</v>
      </c>
      <c r="F2" s="12">
        <v>10.1</v>
      </c>
      <c r="G2" s="13">
        <v>15.3</v>
      </c>
      <c r="J2" s="105" t="s">
        <v>49</v>
      </c>
      <c r="K2" s="105" t="s">
        <v>50</v>
      </c>
      <c r="L2" s="105" t="s">
        <v>51</v>
      </c>
      <c r="M2" s="105" t="s">
        <v>52</v>
      </c>
      <c r="N2" s="105" t="s">
        <v>53</v>
      </c>
    </row>
    <row r="3" spans="1:14">
      <c r="A3" s="106">
        <v>42036</v>
      </c>
      <c r="B3" s="45">
        <v>434.5</v>
      </c>
      <c r="C3" s="45">
        <v>1479.2</v>
      </c>
      <c r="D3" s="45">
        <v>5310.8</v>
      </c>
      <c r="E3" s="16">
        <v>7.63</v>
      </c>
      <c r="F3" s="17">
        <v>11.2</v>
      </c>
      <c r="G3" s="18">
        <v>15.1</v>
      </c>
      <c r="J3" s="107">
        <v>2015</v>
      </c>
      <c r="K3" s="108" cm="1">
        <f t="array" ref="K3">SUMPRODUCT((YEAR($A$2:$A$121)=J3)*($B$2:$B$121))</f>
        <v>5375</v>
      </c>
      <c r="L3" s="107" cm="1">
        <f t="array" ref="L3">SUMPRODUCT((YEAR($A$2:$A$121)=J3)*($C$2:$C$121))</f>
        <v>18300</v>
      </c>
      <c r="M3" s="107" cm="1">
        <f t="array" ref="M3">SUMPRODUCT((YEAR($A$2:$A$121)=J3)*($D$2:$D$121))</f>
        <v>65700</v>
      </c>
      <c r="N3" s="107" cm="1">
        <f t="array" ref="N3">AVERAGE(_xlfn._xlws.FILTER($E$2:$E$121,YEAR($A$2:$A$121)=J3))</f>
        <v>7.74583333333333</v>
      </c>
    </row>
    <row r="4" spans="1:14">
      <c r="A4" s="104">
        <v>42064</v>
      </c>
      <c r="B4" s="42">
        <v>425.5</v>
      </c>
      <c r="C4" s="42">
        <v>1448.8</v>
      </c>
      <c r="D4" s="42">
        <v>5201.2</v>
      </c>
      <c r="E4" s="11">
        <v>7.62</v>
      </c>
      <c r="F4" s="12">
        <v>11.8</v>
      </c>
      <c r="G4" s="13">
        <v>20.1</v>
      </c>
      <c r="J4" s="107">
        <v>2016</v>
      </c>
      <c r="K4" s="108" cm="1">
        <f t="array" ref="K4">SUMPRODUCT((YEAR($A$2:$A$121)=J4)*($B$2:$B$121))</f>
        <v>4897</v>
      </c>
      <c r="L4" s="107" cm="1">
        <f t="array" ref="L4">SUMPRODUCT((YEAR($A$2:$A$121)=J4)*($C$2:$C$121))</f>
        <v>16300</v>
      </c>
      <c r="M4" s="107" cm="1">
        <f t="array" ref="M4">SUMPRODUCT((YEAR($A$2:$A$121)=J4)*($D$2:$D$121))</f>
        <v>56700</v>
      </c>
      <c r="N4" s="107" cm="1">
        <f t="array" ref="N4">AVERAGE(_xlfn._xlws.FILTER($E$2:$E$121,YEAR($A$2:$A$121)=J4))</f>
        <v>10.2225</v>
      </c>
    </row>
    <row r="5" spans="1:14">
      <c r="A5" s="106">
        <v>42095</v>
      </c>
      <c r="B5" s="45">
        <v>430</v>
      </c>
      <c r="C5" s="45">
        <v>1464</v>
      </c>
      <c r="D5" s="45">
        <v>5256</v>
      </c>
      <c r="E5" s="16">
        <v>7.62</v>
      </c>
      <c r="F5" s="17">
        <v>11.1</v>
      </c>
      <c r="G5" s="18">
        <v>20.5</v>
      </c>
      <c r="J5" s="107">
        <v>2017</v>
      </c>
      <c r="K5" s="108" cm="1">
        <f t="array" ref="K5">SUMPRODUCT((YEAR($A$2:$A$121)=J5)*($B$2:$B$121))</f>
        <v>5026</v>
      </c>
      <c r="L5" s="107" cm="1">
        <f t="array" ref="L5">SUMPRODUCT((YEAR($A$2:$A$121)=J5)*($C$2:$C$121))</f>
        <v>22400</v>
      </c>
      <c r="M5" s="107" cm="1">
        <f t="array" ref="M5">SUMPRODUCT((YEAR($A$2:$A$121)=J5)*($D$2:$D$121))</f>
        <v>61200</v>
      </c>
      <c r="N5" s="107" cm="1">
        <f t="array" ref="N5">AVERAGE(_xlfn._xlws.FILTER($E$2:$E$121,YEAR($A$2:$A$121)=J5))</f>
        <v>17.885</v>
      </c>
    </row>
    <row r="6" spans="1:14">
      <c r="A6" s="104">
        <v>42125</v>
      </c>
      <c r="B6" s="42">
        <v>443.4</v>
      </c>
      <c r="C6" s="42">
        <v>1509.8</v>
      </c>
      <c r="D6" s="42">
        <v>5420.2</v>
      </c>
      <c r="E6" s="11">
        <v>7.62</v>
      </c>
      <c r="F6" s="12">
        <v>11.5</v>
      </c>
      <c r="G6" s="13">
        <v>20.5</v>
      </c>
      <c r="J6" s="107">
        <v>2018</v>
      </c>
      <c r="K6" s="108" cm="1">
        <f t="array" ref="K6">SUMPRODUCT((YEAR($A$2:$A$121)=J6)*($B$2:$B$121))</f>
        <v>5585</v>
      </c>
      <c r="L6" s="107" cm="1">
        <f t="array" ref="L6">SUMPRODUCT((YEAR($A$2:$A$121)=J6)*($C$2:$C$121))</f>
        <v>26900</v>
      </c>
      <c r="M6" s="107" cm="1">
        <f t="array" ref="M6">SUMPRODUCT((YEAR($A$2:$A$121)=J6)*($D$2:$D$121))</f>
        <v>68200</v>
      </c>
      <c r="N6" s="107" cm="1">
        <f t="array" ref="N6">AVERAGE(_xlfn._xlws.FILTER($E$2:$E$121,YEAR($A$2:$A$121)=J6))</f>
        <v>17.7658333333333</v>
      </c>
    </row>
    <row r="7" spans="1:14">
      <c r="A7" s="106">
        <v>42156</v>
      </c>
      <c r="B7" s="45">
        <v>452.4</v>
      </c>
      <c r="C7" s="45">
        <v>1540.2</v>
      </c>
      <c r="D7" s="45">
        <v>5529.8</v>
      </c>
      <c r="E7" s="16">
        <v>7.62</v>
      </c>
      <c r="F7" s="17">
        <v>11.4</v>
      </c>
      <c r="G7" s="18">
        <v>20.1</v>
      </c>
      <c r="J7" s="107">
        <v>2019</v>
      </c>
      <c r="K7" s="108" cm="1">
        <f t="array" ref="K7">SUMPRODUCT((YEAR($A$2:$A$121)=J7)*($B$2:$B$121))</f>
        <v>5804</v>
      </c>
      <c r="L7" s="107" cm="1">
        <f t="array" ref="L7">SUMPRODUCT((YEAR($A$2:$A$121)=J7)*($C$2:$C$121))</f>
        <v>26800</v>
      </c>
      <c r="M7" s="107" cm="1">
        <f t="array" ref="M7">SUMPRODUCT((YEAR($A$2:$A$121)=J7)*($D$2:$D$121))</f>
        <v>65900</v>
      </c>
      <c r="N7" s="107" cm="1">
        <f t="array" ref="N7">AVERAGE(_xlfn._xlws.FILTER($E$2:$E$121,YEAR($A$2:$A$121)=J7))</f>
        <v>16.9316666666667</v>
      </c>
    </row>
    <row r="8" spans="1:14">
      <c r="A8" s="104">
        <v>42186</v>
      </c>
      <c r="B8" s="42">
        <v>456.9</v>
      </c>
      <c r="C8" s="42">
        <v>1555.5</v>
      </c>
      <c r="D8" s="42">
        <v>5584.5</v>
      </c>
      <c r="E8" s="11">
        <v>7.83</v>
      </c>
      <c r="F8" s="12">
        <v>11.1</v>
      </c>
      <c r="G8" s="13">
        <v>20.1</v>
      </c>
      <c r="J8" s="107">
        <v>2020</v>
      </c>
      <c r="K8" s="108" cm="1">
        <f t="array" ref="K8">SUMPRODUCT((YEAR($A$2:$A$121)=J8)*($B$2:$B$121))</f>
        <v>5606</v>
      </c>
      <c r="L8" s="107" cm="1">
        <f t="array" ref="L8">SUMPRODUCT((YEAR($A$2:$A$121)=J8)*($C$2:$C$121))</f>
        <v>22400</v>
      </c>
      <c r="M8" s="107" cm="1">
        <f t="array" ref="M8">SUMPRODUCT((YEAR($A$2:$A$121)=J8)*($D$2:$D$121))</f>
        <v>56600</v>
      </c>
      <c r="N8" s="107" cm="1">
        <f t="array" ref="N8">AVERAGE(_xlfn._xlws.FILTER($E$2:$E$121,YEAR($A$2:$A$121)=J8))</f>
        <v>15.9816666666667</v>
      </c>
    </row>
    <row r="9" spans="1:14">
      <c r="A9" s="106">
        <v>42217</v>
      </c>
      <c r="B9" s="45">
        <v>461.4</v>
      </c>
      <c r="C9" s="45">
        <v>1570.8</v>
      </c>
      <c r="D9" s="45">
        <v>5639.2</v>
      </c>
      <c r="E9" s="16">
        <v>7.83</v>
      </c>
      <c r="F9" s="17">
        <v>9.8</v>
      </c>
      <c r="G9" s="18">
        <v>16.4</v>
      </c>
      <c r="J9" s="107">
        <v>2021</v>
      </c>
      <c r="K9" s="108" cm="1">
        <f t="array" ref="K9">SUMPRODUCT((YEAR($A$2:$A$121)=J9)*($B$2:$B$121))</f>
        <v>6334</v>
      </c>
      <c r="L9" s="107" cm="1">
        <f t="array" ref="L9">SUMPRODUCT((YEAR($A$2:$A$121)=J9)*($C$2:$C$121))</f>
        <v>32600</v>
      </c>
      <c r="M9" s="107" cm="1">
        <f t="array" ref="M9">SUMPRODUCT((YEAR($A$2:$A$121)=J9)*($D$2:$D$121))</f>
        <v>71000</v>
      </c>
      <c r="N9" s="107" cm="1">
        <f t="array" ref="N9">AVERAGE(_xlfn._xlws.FILTER($E$2:$E$121,YEAR($A$2:$A$121)=J9))</f>
        <v>15.6508333333333</v>
      </c>
    </row>
    <row r="10" spans="1:14">
      <c r="A10" s="104">
        <v>42248</v>
      </c>
      <c r="B10" s="42">
        <v>456.9</v>
      </c>
      <c r="C10" s="42">
        <v>1555.5</v>
      </c>
      <c r="D10" s="42">
        <v>5584.5</v>
      </c>
      <c r="E10" s="11">
        <v>7.88</v>
      </c>
      <c r="F10" s="12">
        <v>9.2</v>
      </c>
      <c r="G10" s="13">
        <v>16.3</v>
      </c>
      <c r="J10" s="107">
        <v>2022</v>
      </c>
      <c r="K10" s="108" cm="1">
        <f t="array" ref="K10">SUMPRODUCT((YEAR($A$2:$A$121)=J10)*($B$2:$B$121))</f>
        <v>7934</v>
      </c>
      <c r="L10" s="107" cm="1">
        <f t="array" ref="L10">SUMPRODUCT((YEAR($A$2:$A$121)=J10)*($C$2:$C$121))</f>
        <v>51900</v>
      </c>
      <c r="M10" s="107" cm="1">
        <f t="array" ref="M10">SUMPRODUCT((YEAR($A$2:$A$121)=J10)*($D$2:$D$121))</f>
        <v>89300</v>
      </c>
      <c r="N10" s="107" cm="1">
        <f t="array" ref="N10">AVERAGE(_xlfn._xlws.FILTER($E$2:$E$121,YEAR($A$2:$A$121)=J10))</f>
        <v>19.3016666666667</v>
      </c>
    </row>
    <row r="11" spans="1:14">
      <c r="A11" s="106">
        <v>42278</v>
      </c>
      <c r="B11" s="45">
        <v>452.4</v>
      </c>
      <c r="C11" s="45">
        <v>1540.2</v>
      </c>
      <c r="D11" s="45">
        <v>5529.8</v>
      </c>
      <c r="E11" s="16">
        <v>7.91</v>
      </c>
      <c r="F11" s="17">
        <v>9.1</v>
      </c>
      <c r="G11" s="18">
        <v>16.4</v>
      </c>
      <c r="J11" s="107">
        <v>2023</v>
      </c>
      <c r="K11" s="108" cm="1">
        <f t="array" ref="K11">SUMPRODUCT((YEAR($A$2:$A$121)=J11)*($B$2:$B$121))</f>
        <v>10250</v>
      </c>
      <c r="L11" s="107" cm="1">
        <f t="array" ref="L11">SUMPRODUCT((YEAR($A$2:$A$121)=J11)*($C$2:$C$121))</f>
        <v>42600</v>
      </c>
      <c r="M11" s="107" cm="1">
        <f t="array" ref="M11">SUMPRODUCT((YEAR($A$2:$A$121)=J11)*($D$2:$D$121))</f>
        <v>84200</v>
      </c>
      <c r="N11" s="107" cm="1">
        <f t="array" ref="N11">AVERAGE(_xlfn._xlws.FILTER($E$2:$E$121,YEAR($A$2:$A$121)=J11))</f>
        <v>30.7491666666667</v>
      </c>
    </row>
    <row r="12" spans="1:14">
      <c r="A12" s="104">
        <v>42309</v>
      </c>
      <c r="B12" s="42">
        <v>452.4</v>
      </c>
      <c r="C12" s="42">
        <v>1540.2</v>
      </c>
      <c r="D12" s="42">
        <v>5529.8</v>
      </c>
      <c r="E12" s="11">
        <v>7.93</v>
      </c>
      <c r="F12" s="12">
        <v>9.3</v>
      </c>
      <c r="G12" s="13">
        <v>15.9</v>
      </c>
      <c r="J12" s="107">
        <v>2024</v>
      </c>
      <c r="K12" s="108" cm="1">
        <f t="array" ref="K12">SUMPRODUCT((YEAR($A$2:$A$121)=J12)*($B$2:$B$121))</f>
        <v>3991</v>
      </c>
      <c r="L12" s="107" cm="1">
        <f t="array" ref="L12">SUMPRODUCT((YEAR($A$2:$A$121)=J12)*($C$2:$C$121))</f>
        <v>45300</v>
      </c>
      <c r="M12" s="107" cm="1">
        <f t="array" ref="M12">SUMPRODUCT((YEAR($A$2:$A$121)=J12)*($D$2:$D$121))</f>
        <v>95300</v>
      </c>
      <c r="N12" s="107" cm="1">
        <f t="array" ref="N12">AVERAGE(_xlfn._xlws.FILTER($E$2:$E$121,YEAR($A$2:$A$121)=J12))</f>
        <v>45.5916666666667</v>
      </c>
    </row>
    <row r="13" spans="1:14">
      <c r="A13" s="106">
        <v>42339</v>
      </c>
      <c r="B13" s="45">
        <v>452.3</v>
      </c>
      <c r="C13" s="45">
        <v>1540.3</v>
      </c>
      <c r="D13" s="45">
        <v>5529.7</v>
      </c>
      <c r="E13" s="16">
        <v>7.83</v>
      </c>
      <c r="F13" s="17">
        <v>11</v>
      </c>
      <c r="G13" s="18">
        <v>15.5</v>
      </c>
    </row>
    <row r="14" spans="1:14">
      <c r="A14" s="104">
        <v>42370</v>
      </c>
      <c r="B14" s="42">
        <v>416.2</v>
      </c>
      <c r="C14" s="42">
        <v>1385.5</v>
      </c>
      <c r="D14" s="42">
        <v>4819.5</v>
      </c>
      <c r="E14" s="11">
        <v>7.83</v>
      </c>
      <c r="F14" s="12">
        <v>10.1</v>
      </c>
      <c r="G14" s="13">
        <v>14.6</v>
      </c>
    </row>
    <row r="15" spans="1:14">
      <c r="A15" s="106">
        <v>42401</v>
      </c>
      <c r="B15" s="45">
        <v>395.8</v>
      </c>
      <c r="C15" s="45">
        <v>1317.6</v>
      </c>
      <c r="D15" s="45">
        <v>4583.2</v>
      </c>
      <c r="E15" s="16">
        <v>8.03</v>
      </c>
      <c r="F15" s="17">
        <v>9.1</v>
      </c>
      <c r="G15" s="18">
        <v>14.2</v>
      </c>
    </row>
    <row r="16" spans="1:14">
      <c r="A16" s="104">
        <v>42430</v>
      </c>
      <c r="B16" s="42">
        <v>387.7</v>
      </c>
      <c r="C16" s="42">
        <v>1290.4</v>
      </c>
      <c r="D16" s="42">
        <v>4488.8</v>
      </c>
      <c r="E16" s="11">
        <v>8.88</v>
      </c>
      <c r="F16" s="12">
        <v>9</v>
      </c>
      <c r="G16" s="13">
        <v>15</v>
      </c>
    </row>
    <row r="17" spans="1:7">
      <c r="A17" s="106">
        <v>42461</v>
      </c>
      <c r="B17" s="45">
        <v>391.8</v>
      </c>
      <c r="C17" s="45">
        <v>1304</v>
      </c>
      <c r="D17" s="45">
        <v>4536</v>
      </c>
      <c r="E17" s="16">
        <v>8.88</v>
      </c>
      <c r="F17" s="17">
        <v>10.3</v>
      </c>
      <c r="G17" s="18">
        <v>17.1</v>
      </c>
    </row>
    <row r="18" spans="1:7">
      <c r="A18" s="104">
        <v>42491</v>
      </c>
      <c r="B18" s="42">
        <v>404</v>
      </c>
      <c r="C18" s="42">
        <v>1344.8</v>
      </c>
      <c r="D18" s="42">
        <v>4677.8</v>
      </c>
      <c r="E18" s="11">
        <v>8.88</v>
      </c>
      <c r="F18" s="12">
        <v>12.3</v>
      </c>
      <c r="G18" s="13">
        <v>17.5</v>
      </c>
    </row>
    <row r="19" spans="1:7">
      <c r="A19" s="106">
        <v>42522</v>
      </c>
      <c r="B19" s="45">
        <v>412.2</v>
      </c>
      <c r="C19" s="45">
        <v>1371.9</v>
      </c>
      <c r="D19" s="45">
        <v>4772.2</v>
      </c>
      <c r="E19" s="16">
        <v>8.88</v>
      </c>
      <c r="F19" s="17">
        <v>14.8</v>
      </c>
      <c r="G19" s="18">
        <v>15.5</v>
      </c>
    </row>
    <row r="20" spans="1:7">
      <c r="A20" s="104">
        <v>42552</v>
      </c>
      <c r="B20" s="42">
        <v>416.2</v>
      </c>
      <c r="C20" s="42">
        <v>1385.5</v>
      </c>
      <c r="D20" s="42">
        <v>4819.5</v>
      </c>
      <c r="E20" s="11">
        <v>8.88</v>
      </c>
      <c r="F20" s="12">
        <v>14</v>
      </c>
      <c r="G20" s="13">
        <v>15.5</v>
      </c>
    </row>
    <row r="21" spans="1:7">
      <c r="A21" s="106">
        <v>42583</v>
      </c>
      <c r="B21" s="45">
        <v>420.3</v>
      </c>
      <c r="C21" s="45">
        <v>1399.1</v>
      </c>
      <c r="D21" s="45">
        <v>4866.8</v>
      </c>
      <c r="E21" s="16">
        <v>8.88</v>
      </c>
      <c r="F21" s="17">
        <v>15.5</v>
      </c>
      <c r="G21" s="18">
        <v>19.6</v>
      </c>
    </row>
    <row r="22" spans="1:7">
      <c r="A22" s="104">
        <v>42614</v>
      </c>
      <c r="B22" s="42">
        <v>416.2</v>
      </c>
      <c r="C22" s="42">
        <v>1385.5</v>
      </c>
      <c r="D22" s="42">
        <v>4819.5</v>
      </c>
      <c r="E22" s="11">
        <v>8.88</v>
      </c>
      <c r="F22" s="12">
        <v>14.1</v>
      </c>
      <c r="G22" s="13">
        <v>19.6</v>
      </c>
    </row>
    <row r="23" ht="15.75" spans="1:7">
      <c r="A23" s="106">
        <v>42644</v>
      </c>
      <c r="B23" s="45">
        <v>412.2</v>
      </c>
      <c r="C23" s="109">
        <v>1371.9</v>
      </c>
      <c r="D23" s="109">
        <v>4772.2</v>
      </c>
      <c r="E23" s="110">
        <v>8.88</v>
      </c>
      <c r="F23" s="111">
        <v>13.6</v>
      </c>
      <c r="G23" s="112">
        <v>19.6</v>
      </c>
    </row>
    <row r="24" ht="15.75" spans="1:7">
      <c r="A24" s="104">
        <v>42675</v>
      </c>
      <c r="B24" s="42">
        <v>412.2</v>
      </c>
      <c r="C24" s="51">
        <v>1371.9</v>
      </c>
      <c r="D24" s="51">
        <v>4772.2</v>
      </c>
      <c r="E24" s="28">
        <v>17.7</v>
      </c>
      <c r="F24" s="29">
        <v>19.4</v>
      </c>
      <c r="G24" s="30">
        <v>23.1</v>
      </c>
    </row>
    <row r="25" spans="1:7">
      <c r="A25" s="106">
        <v>42705</v>
      </c>
      <c r="B25" s="45">
        <v>412.2</v>
      </c>
      <c r="C25" s="113">
        <v>1371.9</v>
      </c>
      <c r="D25" s="113">
        <v>4772.3</v>
      </c>
      <c r="E25" s="114">
        <v>18.07</v>
      </c>
      <c r="F25" s="115">
        <v>23.3</v>
      </c>
      <c r="G25" s="116">
        <v>26.4</v>
      </c>
    </row>
    <row r="26" spans="1:7">
      <c r="A26" s="104">
        <v>42736</v>
      </c>
      <c r="B26" s="42">
        <v>427.2</v>
      </c>
      <c r="C26" s="42">
        <v>1904</v>
      </c>
      <c r="D26" s="42">
        <v>5202</v>
      </c>
      <c r="E26" s="11">
        <v>18.1</v>
      </c>
      <c r="F26" s="12">
        <v>28.1</v>
      </c>
      <c r="G26" s="13">
        <v>26.3</v>
      </c>
    </row>
    <row r="27" spans="1:7">
      <c r="A27" s="106">
        <v>42767</v>
      </c>
      <c r="B27" s="45">
        <v>406.3</v>
      </c>
      <c r="C27" s="45">
        <v>1810.7</v>
      </c>
      <c r="D27" s="45">
        <v>4947</v>
      </c>
      <c r="E27" s="16">
        <v>18.1</v>
      </c>
      <c r="F27" s="17">
        <v>30.9</v>
      </c>
      <c r="G27" s="18">
        <v>26.5</v>
      </c>
    </row>
    <row r="28" spans="1:7">
      <c r="A28" s="104">
        <v>42795</v>
      </c>
      <c r="B28" s="42">
        <v>397.9</v>
      </c>
      <c r="C28" s="42">
        <v>1773.3</v>
      </c>
      <c r="D28" s="42">
        <v>4845</v>
      </c>
      <c r="E28" s="11">
        <v>18.09</v>
      </c>
      <c r="F28" s="12">
        <v>30.9</v>
      </c>
      <c r="G28" s="13">
        <v>28.6</v>
      </c>
    </row>
    <row r="29" spans="1:7">
      <c r="A29" s="106">
        <v>42826</v>
      </c>
      <c r="B29" s="45">
        <v>402.1</v>
      </c>
      <c r="C29" s="45">
        <v>1792</v>
      </c>
      <c r="D29" s="45">
        <v>4896</v>
      </c>
      <c r="E29" s="16">
        <v>18.05</v>
      </c>
      <c r="F29" s="17">
        <v>31.5</v>
      </c>
      <c r="G29" s="18">
        <v>28.5</v>
      </c>
    </row>
    <row r="30" spans="1:7">
      <c r="A30" s="104">
        <v>42856</v>
      </c>
      <c r="B30" s="42">
        <v>414.6</v>
      </c>
      <c r="C30" s="42">
        <v>1848</v>
      </c>
      <c r="D30" s="42">
        <v>5049</v>
      </c>
      <c r="E30" s="11">
        <v>18.03</v>
      </c>
      <c r="F30" s="12">
        <v>29.7</v>
      </c>
      <c r="G30" s="13">
        <v>31.1</v>
      </c>
    </row>
    <row r="31" spans="1:7">
      <c r="A31" s="106">
        <v>42887</v>
      </c>
      <c r="B31" s="45">
        <v>423</v>
      </c>
      <c r="C31" s="45">
        <v>1885.3</v>
      </c>
      <c r="D31" s="45">
        <v>5151</v>
      </c>
      <c r="E31" s="16">
        <v>18.02</v>
      </c>
      <c r="F31" s="17">
        <v>29.8</v>
      </c>
      <c r="G31" s="18">
        <v>31.6</v>
      </c>
    </row>
    <row r="32" spans="1:7">
      <c r="A32" s="104">
        <v>42917</v>
      </c>
      <c r="B32" s="42">
        <v>427.2</v>
      </c>
      <c r="C32" s="42">
        <v>1904</v>
      </c>
      <c r="D32" s="42">
        <v>5202</v>
      </c>
      <c r="E32" s="11">
        <v>17.9</v>
      </c>
      <c r="F32" s="12">
        <v>33</v>
      </c>
      <c r="G32" s="13">
        <v>36</v>
      </c>
    </row>
    <row r="33" spans="1:7">
      <c r="A33" s="106">
        <v>42948</v>
      </c>
      <c r="B33" s="45">
        <v>431.4</v>
      </c>
      <c r="C33" s="45">
        <v>1922.7</v>
      </c>
      <c r="D33" s="45">
        <v>5253</v>
      </c>
      <c r="E33" s="16">
        <v>17.8</v>
      </c>
      <c r="F33" s="17">
        <v>31.9</v>
      </c>
      <c r="G33" s="18">
        <v>36</v>
      </c>
    </row>
    <row r="34" spans="1:7">
      <c r="A34" s="104">
        <v>42979</v>
      </c>
      <c r="B34" s="42">
        <v>427.2</v>
      </c>
      <c r="C34" s="42">
        <v>1904</v>
      </c>
      <c r="D34" s="42">
        <v>5202</v>
      </c>
      <c r="E34" s="11">
        <v>17.72</v>
      </c>
      <c r="F34" s="12">
        <v>21.9</v>
      </c>
      <c r="G34" s="13">
        <v>36.4</v>
      </c>
    </row>
    <row r="35" spans="1:7">
      <c r="A35" s="106">
        <v>43009</v>
      </c>
      <c r="B35" s="45">
        <v>423</v>
      </c>
      <c r="C35" s="45">
        <v>1885.3</v>
      </c>
      <c r="D35" s="45">
        <v>5151</v>
      </c>
      <c r="E35" s="16">
        <v>17.65</v>
      </c>
      <c r="F35" s="17">
        <v>30.8</v>
      </c>
      <c r="G35" s="18">
        <v>36.7</v>
      </c>
    </row>
    <row r="36" spans="1:7">
      <c r="A36" s="104">
        <v>43040</v>
      </c>
      <c r="B36" s="42">
        <v>423</v>
      </c>
      <c r="C36" s="42">
        <v>1885.3</v>
      </c>
      <c r="D36" s="42">
        <v>5151</v>
      </c>
      <c r="E36" s="11">
        <v>17.6</v>
      </c>
      <c r="F36" s="12">
        <v>26</v>
      </c>
      <c r="G36" s="13">
        <v>37</v>
      </c>
    </row>
    <row r="37" spans="1:7">
      <c r="A37" s="106">
        <v>43070</v>
      </c>
      <c r="B37" s="45">
        <v>423.1</v>
      </c>
      <c r="C37" s="45">
        <v>1885.4</v>
      </c>
      <c r="D37" s="45">
        <v>5151</v>
      </c>
      <c r="E37" s="16">
        <v>17.56</v>
      </c>
      <c r="F37" s="17">
        <v>21.9</v>
      </c>
      <c r="G37" s="18">
        <v>37</v>
      </c>
    </row>
    <row r="38" spans="1:7">
      <c r="A38" s="104">
        <v>43101</v>
      </c>
      <c r="B38" s="42">
        <v>474.7</v>
      </c>
      <c r="C38" s="42">
        <v>2286.5</v>
      </c>
      <c r="D38" s="42">
        <v>5797</v>
      </c>
      <c r="E38" s="11">
        <v>17.52</v>
      </c>
      <c r="F38" s="12">
        <v>17.1</v>
      </c>
      <c r="G38" s="13">
        <v>37</v>
      </c>
    </row>
    <row r="39" spans="1:7">
      <c r="A39" s="106">
        <v>43132</v>
      </c>
      <c r="B39" s="45">
        <v>451.5</v>
      </c>
      <c r="C39" s="45">
        <v>2174.4</v>
      </c>
      <c r="D39" s="45">
        <v>5512.8</v>
      </c>
      <c r="E39" s="16">
        <v>17.52</v>
      </c>
      <c r="F39" s="17">
        <v>14.4</v>
      </c>
      <c r="G39" s="18">
        <v>42.5</v>
      </c>
    </row>
    <row r="40" spans="1:7">
      <c r="A40" s="104">
        <v>43160</v>
      </c>
      <c r="B40" s="42">
        <v>442.1</v>
      </c>
      <c r="C40" s="42">
        <v>2129.6</v>
      </c>
      <c r="D40" s="42">
        <v>5399.2</v>
      </c>
      <c r="E40" s="11">
        <v>17.52</v>
      </c>
      <c r="F40" s="12">
        <v>13.3</v>
      </c>
      <c r="G40" s="13">
        <v>44.3</v>
      </c>
    </row>
    <row r="41" spans="1:7">
      <c r="A41" s="106">
        <v>43191</v>
      </c>
      <c r="B41" s="45">
        <v>446.8</v>
      </c>
      <c r="C41" s="45">
        <v>2152</v>
      </c>
      <c r="D41" s="45">
        <v>5456</v>
      </c>
      <c r="E41" s="16">
        <v>17.52</v>
      </c>
      <c r="F41" s="17">
        <v>13.1</v>
      </c>
      <c r="G41" s="18">
        <v>44.1</v>
      </c>
    </row>
    <row r="42" spans="1:7">
      <c r="A42" s="104">
        <v>43221</v>
      </c>
      <c r="B42" s="42">
        <v>460.8</v>
      </c>
      <c r="C42" s="42">
        <v>2219.2</v>
      </c>
      <c r="D42" s="42">
        <v>5626.5</v>
      </c>
      <c r="E42" s="11">
        <v>17.85</v>
      </c>
      <c r="F42" s="12">
        <v>12.1</v>
      </c>
      <c r="G42" s="13">
        <v>44.2</v>
      </c>
    </row>
    <row r="43" spans="1:7">
      <c r="A43" s="106">
        <v>43252</v>
      </c>
      <c r="B43" s="45">
        <v>470.1</v>
      </c>
      <c r="C43" s="45">
        <v>2264.1</v>
      </c>
      <c r="D43" s="45">
        <v>5740.2</v>
      </c>
      <c r="E43" s="16">
        <v>17.87</v>
      </c>
      <c r="F43" s="17">
        <v>14.4</v>
      </c>
      <c r="G43" s="18">
        <v>44.4</v>
      </c>
    </row>
    <row r="44" spans="1:7">
      <c r="A44" s="104">
        <v>43282</v>
      </c>
      <c r="B44" s="42">
        <v>474.7</v>
      </c>
      <c r="C44" s="42">
        <v>2286.5</v>
      </c>
      <c r="D44" s="42">
        <v>5797</v>
      </c>
      <c r="E44" s="11">
        <v>17.87</v>
      </c>
      <c r="F44" s="12">
        <v>14</v>
      </c>
      <c r="G44" s="13">
        <v>44.4</v>
      </c>
    </row>
    <row r="45" spans="1:7">
      <c r="A45" s="106">
        <v>43313</v>
      </c>
      <c r="B45" s="45">
        <v>479.4</v>
      </c>
      <c r="C45" s="45">
        <v>2308.9</v>
      </c>
      <c r="D45" s="45">
        <v>5853.8</v>
      </c>
      <c r="E45" s="16">
        <v>17.92</v>
      </c>
      <c r="F45" s="17">
        <v>13.5</v>
      </c>
      <c r="G45" s="18">
        <v>44.4</v>
      </c>
    </row>
    <row r="46" spans="1:7">
      <c r="A46" s="104">
        <v>43344</v>
      </c>
      <c r="B46" s="42">
        <v>474.7</v>
      </c>
      <c r="C46" s="42">
        <v>2286.5</v>
      </c>
      <c r="D46" s="42">
        <v>5797</v>
      </c>
      <c r="E46" s="11">
        <v>17.92</v>
      </c>
      <c r="F46" s="12">
        <v>16</v>
      </c>
      <c r="G46" s="13">
        <v>44.4</v>
      </c>
    </row>
    <row r="47" spans="1:7">
      <c r="A47" s="106">
        <v>43374</v>
      </c>
      <c r="B47" s="45">
        <v>470.1</v>
      </c>
      <c r="C47" s="45">
        <v>2264.1</v>
      </c>
      <c r="D47" s="45">
        <v>5740.2</v>
      </c>
      <c r="E47" s="16">
        <v>17.92</v>
      </c>
      <c r="F47" s="17">
        <v>17.7</v>
      </c>
      <c r="G47" s="18">
        <v>44.5</v>
      </c>
    </row>
    <row r="48" spans="1:7">
      <c r="A48" s="104">
        <v>43405</v>
      </c>
      <c r="B48" s="42">
        <v>470.1</v>
      </c>
      <c r="C48" s="42">
        <v>2264.1</v>
      </c>
      <c r="D48" s="42">
        <v>5740.2</v>
      </c>
      <c r="E48" s="11">
        <v>17.89</v>
      </c>
      <c r="F48" s="12">
        <v>18</v>
      </c>
      <c r="G48" s="13">
        <v>44.5</v>
      </c>
    </row>
    <row r="49" spans="1:7">
      <c r="A49" s="106">
        <v>43435</v>
      </c>
      <c r="B49" s="45">
        <v>470</v>
      </c>
      <c r="C49" s="45">
        <v>2264.1</v>
      </c>
      <c r="D49" s="45">
        <v>5740.1</v>
      </c>
      <c r="E49" s="16">
        <v>17.87</v>
      </c>
      <c r="F49" s="17">
        <v>12</v>
      </c>
      <c r="G49" s="18">
        <v>44.6</v>
      </c>
    </row>
    <row r="50" spans="1:7">
      <c r="A50" s="104">
        <v>43466</v>
      </c>
      <c r="B50" s="42">
        <v>493.3</v>
      </c>
      <c r="C50" s="42">
        <v>2278</v>
      </c>
      <c r="D50" s="42">
        <v>5601.5</v>
      </c>
      <c r="E50" s="11">
        <v>17.85</v>
      </c>
      <c r="F50" s="12">
        <v>12</v>
      </c>
      <c r="G50" s="13">
        <v>42.6</v>
      </c>
    </row>
    <row r="51" spans="1:7">
      <c r="A51" s="106">
        <v>43497</v>
      </c>
      <c r="B51" s="45">
        <v>469.2</v>
      </c>
      <c r="C51" s="45">
        <v>2166.3</v>
      </c>
      <c r="D51" s="45">
        <v>5326.9</v>
      </c>
      <c r="E51" s="16">
        <v>17.82</v>
      </c>
      <c r="F51" s="17">
        <v>14.4</v>
      </c>
      <c r="G51" s="18">
        <v>42.2</v>
      </c>
    </row>
    <row r="52" spans="1:7">
      <c r="A52" s="117">
        <v>43525</v>
      </c>
      <c r="B52" s="42">
        <v>459.5</v>
      </c>
      <c r="C52" s="42">
        <v>2121.7</v>
      </c>
      <c r="D52" s="42">
        <v>5217.1</v>
      </c>
      <c r="E52" s="11">
        <v>17.48</v>
      </c>
      <c r="F52" s="12">
        <v>14.2</v>
      </c>
      <c r="G52" s="13">
        <v>43.9</v>
      </c>
    </row>
    <row r="53" spans="1:7">
      <c r="A53" s="106">
        <v>43556</v>
      </c>
      <c r="B53" s="45">
        <v>464.3</v>
      </c>
      <c r="C53" s="45">
        <v>2144</v>
      </c>
      <c r="D53" s="45">
        <v>5272</v>
      </c>
      <c r="E53" s="16">
        <v>17.25</v>
      </c>
      <c r="F53" s="17">
        <v>13</v>
      </c>
      <c r="G53" s="18">
        <v>43</v>
      </c>
    </row>
    <row r="54" spans="1:7">
      <c r="A54" s="104">
        <v>43586</v>
      </c>
      <c r="B54" s="42">
        <v>478.8</v>
      </c>
      <c r="C54" s="42">
        <v>2211</v>
      </c>
      <c r="D54" s="42">
        <v>5436.8</v>
      </c>
      <c r="E54" s="11">
        <v>17.1</v>
      </c>
      <c r="F54" s="12">
        <v>8.1</v>
      </c>
      <c r="G54" s="13">
        <v>44.1</v>
      </c>
    </row>
    <row r="55" spans="1:7">
      <c r="A55" s="106">
        <v>43617</v>
      </c>
      <c r="B55" s="45">
        <v>488.5</v>
      </c>
      <c r="C55" s="45">
        <v>2255.7</v>
      </c>
      <c r="D55" s="45">
        <v>5546.6</v>
      </c>
      <c r="E55" s="16">
        <v>16.97</v>
      </c>
      <c r="F55" s="17">
        <v>9.4</v>
      </c>
      <c r="G55" s="18">
        <v>45.1</v>
      </c>
    </row>
    <row r="56" spans="1:7">
      <c r="A56" s="104">
        <v>43647</v>
      </c>
      <c r="B56" s="42">
        <v>493.3</v>
      </c>
      <c r="C56" s="42">
        <v>2278</v>
      </c>
      <c r="D56" s="42">
        <v>5601.5</v>
      </c>
      <c r="E56" s="11">
        <v>16.87</v>
      </c>
      <c r="F56" s="12">
        <v>8.7</v>
      </c>
      <c r="G56" s="13">
        <v>45.1</v>
      </c>
    </row>
    <row r="57" spans="1:7">
      <c r="A57" s="106">
        <v>43678</v>
      </c>
      <c r="B57" s="45">
        <v>498.2</v>
      </c>
      <c r="C57" s="45">
        <v>2300.3</v>
      </c>
      <c r="D57" s="45">
        <v>5656.4</v>
      </c>
      <c r="E57" s="16">
        <v>16.77</v>
      </c>
      <c r="F57" s="17">
        <v>7.5</v>
      </c>
      <c r="G57" s="18">
        <v>45.4</v>
      </c>
    </row>
    <row r="58" spans="1:7">
      <c r="A58" s="104">
        <v>43709</v>
      </c>
      <c r="B58" s="42">
        <v>493.3</v>
      </c>
      <c r="C58" s="42">
        <v>2278</v>
      </c>
      <c r="D58" s="42">
        <v>5601.5</v>
      </c>
      <c r="E58" s="11">
        <v>16.4</v>
      </c>
      <c r="F58" s="12">
        <v>4.8</v>
      </c>
      <c r="G58" s="13">
        <v>45.4</v>
      </c>
    </row>
    <row r="59" spans="1:7">
      <c r="A59" s="106">
        <v>43739</v>
      </c>
      <c r="B59" s="45">
        <v>488.5</v>
      </c>
      <c r="C59" s="45">
        <v>2255.7</v>
      </c>
      <c r="D59" s="45">
        <v>5546.6</v>
      </c>
      <c r="E59" s="16">
        <v>16.35</v>
      </c>
      <c r="F59" s="17">
        <v>3.1</v>
      </c>
      <c r="G59" s="18">
        <v>45.4</v>
      </c>
    </row>
    <row r="60" spans="1:7">
      <c r="A60" s="104">
        <v>43770</v>
      </c>
      <c r="B60" s="42">
        <v>488.5</v>
      </c>
      <c r="C60" s="42">
        <v>2255.7</v>
      </c>
      <c r="D60" s="42">
        <v>5546.6</v>
      </c>
      <c r="E60" s="11">
        <v>16.22</v>
      </c>
      <c r="F60" s="12">
        <v>3.6</v>
      </c>
      <c r="G60" s="13">
        <v>45.4</v>
      </c>
    </row>
    <row r="61" spans="1:7">
      <c r="A61" s="106">
        <v>43800</v>
      </c>
      <c r="B61" s="45">
        <v>488.6</v>
      </c>
      <c r="C61" s="45">
        <v>2255.6</v>
      </c>
      <c r="D61" s="45">
        <v>5546.5</v>
      </c>
      <c r="E61" s="16">
        <v>16.1</v>
      </c>
      <c r="F61" s="17">
        <v>7.1</v>
      </c>
      <c r="G61" s="18">
        <v>45.5</v>
      </c>
    </row>
    <row r="62" spans="1:7">
      <c r="A62" s="104">
        <v>43831</v>
      </c>
      <c r="B62" s="42">
        <v>476.5</v>
      </c>
      <c r="C62" s="42">
        <v>1904</v>
      </c>
      <c r="D62" s="42">
        <v>4811</v>
      </c>
      <c r="E62" s="11">
        <v>16.07</v>
      </c>
      <c r="F62" s="12">
        <v>7.2</v>
      </c>
      <c r="G62" s="13">
        <v>45.5</v>
      </c>
    </row>
    <row r="63" spans="1:7">
      <c r="A63" s="106">
        <v>43862</v>
      </c>
      <c r="B63" s="45">
        <v>453.2</v>
      </c>
      <c r="C63" s="45">
        <v>1810.7</v>
      </c>
      <c r="D63" s="45">
        <v>4575.2</v>
      </c>
      <c r="E63" s="16">
        <v>15.73</v>
      </c>
      <c r="F63" s="17">
        <v>5.3</v>
      </c>
      <c r="G63" s="18">
        <v>45.5</v>
      </c>
    </row>
    <row r="64" spans="1:7">
      <c r="A64" s="117">
        <v>43891</v>
      </c>
      <c r="B64" s="42">
        <v>443.8</v>
      </c>
      <c r="C64" s="42">
        <v>1773.3</v>
      </c>
      <c r="D64" s="42">
        <v>4480.8</v>
      </c>
      <c r="E64" s="11">
        <v>15.73</v>
      </c>
      <c r="F64" s="12">
        <v>5.1</v>
      </c>
      <c r="G64" s="13">
        <v>40.1</v>
      </c>
    </row>
    <row r="65" spans="1:7">
      <c r="A65" s="106">
        <v>43922</v>
      </c>
      <c r="B65" s="45">
        <v>448.5</v>
      </c>
      <c r="C65" s="45">
        <v>1792</v>
      </c>
      <c r="D65" s="45">
        <v>4528</v>
      </c>
      <c r="E65" s="16">
        <v>16</v>
      </c>
      <c r="F65" s="17">
        <v>5.9</v>
      </c>
      <c r="G65" s="18">
        <v>37</v>
      </c>
    </row>
    <row r="66" spans="1:7">
      <c r="A66" s="104">
        <v>43952</v>
      </c>
      <c r="B66" s="42">
        <v>462.5</v>
      </c>
      <c r="C66" s="42">
        <v>1848</v>
      </c>
      <c r="D66" s="42">
        <v>4669.5</v>
      </c>
      <c r="E66" s="11">
        <v>16.04</v>
      </c>
      <c r="F66" s="12">
        <v>4.7</v>
      </c>
      <c r="G66" s="13">
        <v>38.2</v>
      </c>
    </row>
    <row r="67" spans="1:7">
      <c r="A67" s="106">
        <v>43983</v>
      </c>
      <c r="B67" s="45">
        <v>471.8</v>
      </c>
      <c r="C67" s="45">
        <v>1885.3</v>
      </c>
      <c r="D67" s="45">
        <v>4763.8</v>
      </c>
      <c r="E67" s="16">
        <v>16.08</v>
      </c>
      <c r="F67" s="17">
        <v>5.6</v>
      </c>
      <c r="G67" s="18">
        <v>38.2</v>
      </c>
    </row>
    <row r="68" spans="1:7">
      <c r="A68" s="104">
        <v>44013</v>
      </c>
      <c r="B68" s="42">
        <v>476.5</v>
      </c>
      <c r="C68" s="42">
        <v>1904</v>
      </c>
      <c r="D68" s="42">
        <v>4811</v>
      </c>
      <c r="E68" s="11">
        <v>16.14</v>
      </c>
      <c r="F68" s="12">
        <v>4.2</v>
      </c>
      <c r="G68" s="13">
        <v>38.4</v>
      </c>
    </row>
    <row r="69" spans="1:7">
      <c r="A69" s="106">
        <v>44044</v>
      </c>
      <c r="B69" s="45">
        <v>481.2</v>
      </c>
      <c r="C69" s="45">
        <v>1922.7</v>
      </c>
      <c r="D69" s="45">
        <v>4858.2</v>
      </c>
      <c r="E69" s="16">
        <v>16.17</v>
      </c>
      <c r="F69" s="17">
        <v>3.4</v>
      </c>
      <c r="G69" s="18">
        <v>38.5</v>
      </c>
    </row>
    <row r="70" spans="1:7">
      <c r="A70" s="104">
        <v>44075</v>
      </c>
      <c r="B70" s="42">
        <v>476.5</v>
      </c>
      <c r="C70" s="42">
        <v>1904</v>
      </c>
      <c r="D70" s="42">
        <v>4811</v>
      </c>
      <c r="E70" s="11">
        <v>16.19</v>
      </c>
      <c r="F70" s="12">
        <v>3.7</v>
      </c>
      <c r="G70" s="13">
        <v>38.5</v>
      </c>
    </row>
    <row r="71" spans="1:7">
      <c r="A71" s="106">
        <v>44105</v>
      </c>
      <c r="B71" s="45">
        <v>471.8</v>
      </c>
      <c r="C71" s="45">
        <v>1885.3</v>
      </c>
      <c r="D71" s="45">
        <v>4763.8</v>
      </c>
      <c r="E71" s="16">
        <v>16.19</v>
      </c>
      <c r="F71" s="17">
        <v>4.5</v>
      </c>
      <c r="G71" s="18">
        <v>39.2</v>
      </c>
    </row>
    <row r="72" spans="1:7">
      <c r="A72" s="104">
        <v>44136</v>
      </c>
      <c r="B72" s="42">
        <v>471.8</v>
      </c>
      <c r="C72" s="42">
        <v>1885.3</v>
      </c>
      <c r="D72" s="42">
        <v>4763.8</v>
      </c>
      <c r="E72" s="11">
        <v>15.75</v>
      </c>
      <c r="F72" s="12">
        <v>5.7</v>
      </c>
      <c r="G72" s="13">
        <v>39.3</v>
      </c>
    </row>
    <row r="73" spans="1:7">
      <c r="A73" s="106">
        <v>44166</v>
      </c>
      <c r="B73" s="45">
        <v>471.9</v>
      </c>
      <c r="C73" s="45">
        <v>1885.4</v>
      </c>
      <c r="D73" s="45">
        <v>4763.9</v>
      </c>
      <c r="E73" s="16">
        <v>15.69</v>
      </c>
      <c r="F73" s="17">
        <v>5.4</v>
      </c>
      <c r="G73" s="18">
        <v>40.1</v>
      </c>
    </row>
    <row r="74" spans="1:7">
      <c r="A74" s="104">
        <v>44197</v>
      </c>
      <c r="B74" s="42">
        <v>530</v>
      </c>
      <c r="C74" s="42">
        <v>2771</v>
      </c>
      <c r="D74" s="42">
        <v>6035</v>
      </c>
      <c r="E74" s="11">
        <v>15.63</v>
      </c>
      <c r="F74" s="12">
        <v>4.5</v>
      </c>
      <c r="G74" s="13">
        <v>40.1</v>
      </c>
    </row>
    <row r="75" spans="1:7">
      <c r="A75" s="106">
        <v>44228</v>
      </c>
      <c r="B75" s="45">
        <v>504.1</v>
      </c>
      <c r="C75" s="45">
        <v>2635.2</v>
      </c>
      <c r="D75" s="45">
        <v>5739.2</v>
      </c>
      <c r="E75" s="16">
        <v>15.62</v>
      </c>
      <c r="F75" s="17">
        <v>4.5</v>
      </c>
      <c r="G75" s="18">
        <v>40.3</v>
      </c>
    </row>
    <row r="76" spans="1:7">
      <c r="A76" s="118">
        <v>44256</v>
      </c>
      <c r="B76" s="42">
        <v>387.8</v>
      </c>
      <c r="C76" s="42">
        <v>2580.8</v>
      </c>
      <c r="D76" s="42">
        <v>5620.8</v>
      </c>
      <c r="E76" s="11">
        <v>15.6</v>
      </c>
      <c r="F76" s="12">
        <v>4.5</v>
      </c>
      <c r="G76" s="13">
        <v>40</v>
      </c>
    </row>
    <row r="77" spans="1:7">
      <c r="A77" s="106">
        <v>44287</v>
      </c>
      <c r="B77" s="45">
        <v>562.3</v>
      </c>
      <c r="C77" s="45">
        <v>2608</v>
      </c>
      <c r="D77" s="45">
        <v>5680</v>
      </c>
      <c r="E77" s="16">
        <v>15.6</v>
      </c>
      <c r="F77" s="17">
        <v>4.1</v>
      </c>
      <c r="G77" s="18">
        <v>40</v>
      </c>
    </row>
    <row r="78" spans="1:7">
      <c r="A78" s="104">
        <v>44317</v>
      </c>
      <c r="B78" s="42">
        <v>555.8</v>
      </c>
      <c r="C78" s="42">
        <v>2689.5</v>
      </c>
      <c r="D78" s="42">
        <v>5857.5</v>
      </c>
      <c r="E78" s="11">
        <v>15.66</v>
      </c>
      <c r="F78" s="12">
        <v>4.8</v>
      </c>
      <c r="G78" s="13">
        <v>40.1</v>
      </c>
    </row>
    <row r="79" spans="1:7">
      <c r="A79" s="106">
        <v>44348</v>
      </c>
      <c r="B79" s="45">
        <v>536.5</v>
      </c>
      <c r="C79" s="45">
        <v>2743.8</v>
      </c>
      <c r="D79" s="45">
        <v>5975.8</v>
      </c>
      <c r="E79" s="16">
        <v>15.65</v>
      </c>
      <c r="F79" s="17">
        <v>4.9</v>
      </c>
      <c r="G79" s="18">
        <v>40.9</v>
      </c>
    </row>
    <row r="80" spans="1:7">
      <c r="A80" s="104">
        <v>44378</v>
      </c>
      <c r="B80" s="42">
        <v>549.4</v>
      </c>
      <c r="C80" s="42">
        <v>2771</v>
      </c>
      <c r="D80" s="42">
        <v>6035</v>
      </c>
      <c r="E80" s="11">
        <v>15.63</v>
      </c>
      <c r="F80" s="12">
        <v>5.4</v>
      </c>
      <c r="G80" s="13">
        <v>40.9</v>
      </c>
    </row>
    <row r="81" spans="1:7">
      <c r="A81" s="106">
        <v>44409</v>
      </c>
      <c r="B81" s="45">
        <v>555.8</v>
      </c>
      <c r="C81" s="45">
        <v>2798.2</v>
      </c>
      <c r="D81" s="45">
        <v>6094.2</v>
      </c>
      <c r="E81" s="16">
        <v>15.71</v>
      </c>
      <c r="F81" s="17">
        <v>5.7</v>
      </c>
      <c r="G81" s="18">
        <v>40.9</v>
      </c>
    </row>
    <row r="82" spans="1:7">
      <c r="A82" s="104">
        <v>44440</v>
      </c>
      <c r="B82" s="42">
        <v>549.4</v>
      </c>
      <c r="C82" s="42">
        <v>2771</v>
      </c>
      <c r="D82" s="42">
        <v>6035</v>
      </c>
      <c r="E82" s="11">
        <v>15.66</v>
      </c>
      <c r="F82" s="12">
        <v>6.6</v>
      </c>
      <c r="G82" s="13">
        <v>41.1</v>
      </c>
    </row>
    <row r="83" spans="1:7">
      <c r="A83" s="106">
        <v>44470</v>
      </c>
      <c r="B83" s="45">
        <v>542.9</v>
      </c>
      <c r="C83" s="45">
        <v>2743.8</v>
      </c>
      <c r="D83" s="45">
        <v>5975.8</v>
      </c>
      <c r="E83" s="16">
        <v>15.65</v>
      </c>
      <c r="F83" s="17">
        <v>6.3</v>
      </c>
      <c r="G83" s="18">
        <v>41.1</v>
      </c>
    </row>
    <row r="84" spans="1:7">
      <c r="A84" s="104">
        <v>44501</v>
      </c>
      <c r="B84" s="42">
        <v>536.5</v>
      </c>
      <c r="C84" s="42">
        <v>2743.8</v>
      </c>
      <c r="D84" s="42">
        <v>5975.8</v>
      </c>
      <c r="E84" s="11">
        <v>15.67</v>
      </c>
      <c r="F84" s="12">
        <v>6.2</v>
      </c>
      <c r="G84" s="13">
        <v>41.1</v>
      </c>
    </row>
    <row r="85" spans="1:7">
      <c r="A85" s="106">
        <v>44531</v>
      </c>
      <c r="B85" s="45">
        <v>523.5</v>
      </c>
      <c r="C85" s="45">
        <v>2743.9</v>
      </c>
      <c r="D85" s="45">
        <v>5975.9</v>
      </c>
      <c r="E85" s="16">
        <v>15.73</v>
      </c>
      <c r="F85" s="17">
        <v>5.9</v>
      </c>
      <c r="G85" s="18">
        <v>41</v>
      </c>
    </row>
    <row r="86" spans="1:7">
      <c r="A86" s="104">
        <v>44562</v>
      </c>
      <c r="B86" s="42">
        <v>674.4</v>
      </c>
      <c r="C86" s="42">
        <v>4411.5</v>
      </c>
      <c r="D86" s="42">
        <v>7590.5</v>
      </c>
      <c r="E86" s="11">
        <v>15.73</v>
      </c>
      <c r="F86" s="12">
        <v>7.3</v>
      </c>
      <c r="G86" s="13">
        <v>41</v>
      </c>
    </row>
    <row r="87" spans="1:7">
      <c r="A87" s="106">
        <v>44593</v>
      </c>
      <c r="B87" s="45">
        <v>641.3</v>
      </c>
      <c r="C87" s="45">
        <v>4195.2</v>
      </c>
      <c r="D87" s="45">
        <v>7218.4</v>
      </c>
      <c r="E87" s="16">
        <v>15.73</v>
      </c>
      <c r="F87" s="17">
        <v>8.8</v>
      </c>
      <c r="G87" s="18">
        <v>40</v>
      </c>
    </row>
    <row r="88" spans="1:7">
      <c r="A88" s="104">
        <v>44621</v>
      </c>
      <c r="B88" s="42">
        <v>628.1</v>
      </c>
      <c r="C88" s="42">
        <v>4108.8</v>
      </c>
      <c r="D88" s="42">
        <v>7069.6</v>
      </c>
      <c r="E88" s="11">
        <v>18.2</v>
      </c>
      <c r="F88" s="12">
        <v>10.5</v>
      </c>
      <c r="G88" s="13">
        <v>37.1</v>
      </c>
    </row>
    <row r="89" spans="1:7">
      <c r="A89" s="106">
        <v>44652</v>
      </c>
      <c r="B89" s="45">
        <v>634.7</v>
      </c>
      <c r="C89" s="45">
        <v>4152</v>
      </c>
      <c r="D89" s="45">
        <v>7144</v>
      </c>
      <c r="E89" s="16">
        <v>18.27</v>
      </c>
      <c r="F89" s="17">
        <v>13.1</v>
      </c>
      <c r="G89" s="18">
        <v>35.5</v>
      </c>
    </row>
    <row r="90" spans="1:7">
      <c r="A90" s="104">
        <v>44682</v>
      </c>
      <c r="B90" s="42">
        <v>654.6</v>
      </c>
      <c r="C90" s="42">
        <v>4281.8</v>
      </c>
      <c r="D90" s="42">
        <v>7367.2</v>
      </c>
      <c r="E90" s="11">
        <v>18.27</v>
      </c>
      <c r="F90" s="12">
        <v>13.5</v>
      </c>
      <c r="G90" s="13">
        <v>33.4</v>
      </c>
    </row>
    <row r="91" spans="1:7">
      <c r="A91" s="106">
        <v>44713</v>
      </c>
      <c r="B91" s="45">
        <v>667.8</v>
      </c>
      <c r="C91" s="45">
        <v>4368.2</v>
      </c>
      <c r="D91" s="45">
        <v>7516.1</v>
      </c>
      <c r="E91" s="16">
        <v>18.66</v>
      </c>
      <c r="F91" s="17">
        <v>13.2</v>
      </c>
      <c r="G91" s="18">
        <v>33.1</v>
      </c>
    </row>
    <row r="92" spans="1:7">
      <c r="A92" s="104">
        <v>44743</v>
      </c>
      <c r="B92" s="42">
        <v>674.4</v>
      </c>
      <c r="C92" s="42">
        <v>4411.5</v>
      </c>
      <c r="D92" s="42">
        <v>7590.5</v>
      </c>
      <c r="E92" s="11">
        <v>18.87</v>
      </c>
      <c r="F92" s="12">
        <v>13.6</v>
      </c>
      <c r="G92" s="13">
        <v>33.1</v>
      </c>
    </row>
    <row r="93" spans="1:7">
      <c r="A93" s="106">
        <v>44774</v>
      </c>
      <c r="B93" s="45">
        <v>681</v>
      </c>
      <c r="C93" s="58">
        <v>4454.8</v>
      </c>
      <c r="D93" s="45">
        <v>7664.9</v>
      </c>
      <c r="E93" s="16">
        <v>19.1</v>
      </c>
      <c r="F93" s="17">
        <v>14.6</v>
      </c>
      <c r="G93" s="18">
        <v>33.1</v>
      </c>
    </row>
    <row r="94" spans="1:7">
      <c r="A94" s="104">
        <v>44805</v>
      </c>
      <c r="B94" s="42">
        <v>674.4</v>
      </c>
      <c r="C94" s="42">
        <v>4411.5</v>
      </c>
      <c r="D94" s="42">
        <v>7590.5</v>
      </c>
      <c r="E94" s="11">
        <v>19.63</v>
      </c>
      <c r="F94" s="12">
        <v>15.3</v>
      </c>
      <c r="G94" s="13">
        <v>33.2</v>
      </c>
    </row>
    <row r="95" spans="1:7">
      <c r="A95" s="106">
        <v>44835</v>
      </c>
      <c r="B95" s="45">
        <v>667.8</v>
      </c>
      <c r="C95" s="45">
        <v>4368.2</v>
      </c>
      <c r="D95" s="45">
        <v>7516.1</v>
      </c>
      <c r="E95" s="16">
        <v>19.82</v>
      </c>
      <c r="F95" s="17">
        <v>16.2</v>
      </c>
      <c r="G95" s="18">
        <v>33.5</v>
      </c>
    </row>
    <row r="96" spans="1:7">
      <c r="A96" s="104">
        <v>44866</v>
      </c>
      <c r="B96" s="42">
        <v>667.8</v>
      </c>
      <c r="C96" s="42">
        <v>4368.2</v>
      </c>
      <c r="D96" s="42">
        <v>7516.1</v>
      </c>
      <c r="E96" s="11">
        <v>24.64</v>
      </c>
      <c r="F96" s="12">
        <v>18.7</v>
      </c>
      <c r="G96" s="13">
        <v>34</v>
      </c>
    </row>
    <row r="97" spans="1:7">
      <c r="A97" s="106">
        <v>44896</v>
      </c>
      <c r="B97" s="45">
        <v>667.7</v>
      </c>
      <c r="C97" s="45">
        <v>4368.3</v>
      </c>
      <c r="D97" s="45">
        <v>7516.1</v>
      </c>
      <c r="E97" s="16">
        <v>24.7</v>
      </c>
      <c r="F97" s="17">
        <v>21.3</v>
      </c>
      <c r="G97" s="18">
        <v>34.2</v>
      </c>
    </row>
    <row r="98" spans="1:7">
      <c r="A98" s="119">
        <v>44927</v>
      </c>
      <c r="B98" s="42">
        <v>871.2</v>
      </c>
      <c r="C98" s="42">
        <v>3621</v>
      </c>
      <c r="D98" s="42">
        <v>7157</v>
      </c>
      <c r="E98" s="11">
        <v>29.53</v>
      </c>
      <c r="F98" s="12">
        <v>25.8</v>
      </c>
      <c r="G98" s="13">
        <v>34</v>
      </c>
    </row>
    <row r="99" spans="1:7">
      <c r="A99" s="106">
        <v>44958</v>
      </c>
      <c r="B99" s="45">
        <v>828.5</v>
      </c>
      <c r="C99" s="45">
        <v>3443.5</v>
      </c>
      <c r="D99" s="45">
        <v>6806.2</v>
      </c>
      <c r="E99" s="16">
        <v>30.5</v>
      </c>
      <c r="F99" s="17">
        <v>31.9</v>
      </c>
      <c r="G99" s="18">
        <v>34.5</v>
      </c>
    </row>
    <row r="100" spans="1:7">
      <c r="A100" s="104">
        <v>44986</v>
      </c>
      <c r="B100" s="42">
        <v>811.5</v>
      </c>
      <c r="C100" s="42">
        <v>3372.5</v>
      </c>
      <c r="D100" s="42">
        <v>6665.8</v>
      </c>
      <c r="E100" s="11">
        <v>30.86</v>
      </c>
      <c r="F100" s="12">
        <v>32.7</v>
      </c>
      <c r="G100" s="13">
        <v>34.9</v>
      </c>
    </row>
    <row r="101" spans="1:7">
      <c r="A101" s="106">
        <v>45017</v>
      </c>
      <c r="B101" s="45">
        <v>820</v>
      </c>
      <c r="C101" s="45">
        <v>3408</v>
      </c>
      <c r="D101" s="45">
        <v>6736</v>
      </c>
      <c r="E101" s="16">
        <v>30.9</v>
      </c>
      <c r="F101" s="17">
        <v>30.6</v>
      </c>
      <c r="G101" s="18">
        <v>33.7</v>
      </c>
    </row>
    <row r="102" spans="1:7">
      <c r="A102" s="104">
        <v>45047</v>
      </c>
      <c r="B102" s="42">
        <v>845.6</v>
      </c>
      <c r="C102" s="42">
        <v>3514.5</v>
      </c>
      <c r="D102" s="42">
        <v>6946.5</v>
      </c>
      <c r="E102" s="11">
        <v>30.9</v>
      </c>
      <c r="F102" s="12">
        <v>32.7</v>
      </c>
      <c r="G102" s="13">
        <v>34.7</v>
      </c>
    </row>
    <row r="103" spans="1:7">
      <c r="A103" s="106">
        <v>45078</v>
      </c>
      <c r="B103" s="45">
        <v>862.7</v>
      </c>
      <c r="C103" s="45">
        <v>3585.5</v>
      </c>
      <c r="D103" s="45">
        <v>7086.8</v>
      </c>
      <c r="E103" s="16">
        <v>30.9</v>
      </c>
      <c r="F103" s="17">
        <v>36.8</v>
      </c>
      <c r="G103" s="18">
        <v>35</v>
      </c>
    </row>
    <row r="104" spans="1:7">
      <c r="A104" s="104">
        <v>45108</v>
      </c>
      <c r="B104" s="42">
        <v>871.2</v>
      </c>
      <c r="C104" s="42">
        <v>3621</v>
      </c>
      <c r="D104" s="42">
        <v>7157</v>
      </c>
      <c r="E104" s="11">
        <v>30.9</v>
      </c>
      <c r="F104" s="12">
        <v>38</v>
      </c>
      <c r="G104" s="13">
        <v>35</v>
      </c>
    </row>
    <row r="105" spans="1:7">
      <c r="A105" s="106">
        <v>45139</v>
      </c>
      <c r="B105" s="58">
        <v>879.8</v>
      </c>
      <c r="C105" s="45">
        <v>3656.5</v>
      </c>
      <c r="D105" s="45">
        <v>7227.2</v>
      </c>
      <c r="E105" s="16">
        <v>30.9</v>
      </c>
      <c r="F105" s="38">
        <v>39.7</v>
      </c>
      <c r="G105" s="18">
        <v>35</v>
      </c>
    </row>
    <row r="106" spans="1:7">
      <c r="A106" s="104">
        <v>45170</v>
      </c>
      <c r="B106" s="42">
        <v>871.2</v>
      </c>
      <c r="C106" s="42">
        <v>3621</v>
      </c>
      <c r="D106" s="42">
        <v>7157</v>
      </c>
      <c r="E106" s="11">
        <v>30.9</v>
      </c>
      <c r="F106" s="12">
        <v>38</v>
      </c>
      <c r="G106" s="13">
        <v>35</v>
      </c>
    </row>
    <row r="107" spans="1:7">
      <c r="A107" s="106">
        <v>45200</v>
      </c>
      <c r="B107" s="45">
        <v>862.7</v>
      </c>
      <c r="C107" s="45">
        <v>3585.5</v>
      </c>
      <c r="D107" s="45">
        <v>7086.8</v>
      </c>
      <c r="E107" s="16">
        <v>30.9</v>
      </c>
      <c r="F107" s="17">
        <v>35.8</v>
      </c>
      <c r="G107" s="18">
        <v>35</v>
      </c>
    </row>
    <row r="108" spans="1:7">
      <c r="A108" s="104">
        <v>45231</v>
      </c>
      <c r="B108" s="42">
        <v>862.7</v>
      </c>
      <c r="C108" s="42">
        <v>3585.5</v>
      </c>
      <c r="D108" s="42">
        <v>7086.8</v>
      </c>
      <c r="E108" s="11">
        <v>30.9</v>
      </c>
      <c r="F108" s="12">
        <v>34.6</v>
      </c>
      <c r="G108" s="13">
        <v>35.2</v>
      </c>
    </row>
    <row r="109" spans="1:7">
      <c r="A109" s="106">
        <v>45261</v>
      </c>
      <c r="B109" s="45">
        <v>862.9</v>
      </c>
      <c r="C109" s="45">
        <v>3585.5</v>
      </c>
      <c r="D109" s="45">
        <v>7086.9</v>
      </c>
      <c r="E109" s="16">
        <v>30.9</v>
      </c>
      <c r="F109" s="17">
        <v>33.9</v>
      </c>
      <c r="G109" s="18">
        <v>35.2</v>
      </c>
    </row>
    <row r="110" spans="1:7">
      <c r="A110" s="119">
        <v>45292</v>
      </c>
      <c r="B110" s="42">
        <v>359.2</v>
      </c>
      <c r="C110" s="42">
        <v>3850.5</v>
      </c>
      <c r="D110" s="42">
        <v>8100.5</v>
      </c>
      <c r="E110" s="11">
        <v>30.9</v>
      </c>
      <c r="F110" s="12">
        <v>29.8</v>
      </c>
      <c r="G110" s="13">
        <v>35.4</v>
      </c>
    </row>
    <row r="111" spans="1:7">
      <c r="A111" s="106">
        <v>45323</v>
      </c>
      <c r="B111" s="45">
        <v>339.2</v>
      </c>
      <c r="C111" s="45">
        <v>3661.8</v>
      </c>
      <c r="D111" s="45">
        <v>7703.4</v>
      </c>
      <c r="E111" s="16">
        <v>30.9</v>
      </c>
      <c r="F111" s="17">
        <v>35.7</v>
      </c>
      <c r="G111" s="18">
        <v>35.4</v>
      </c>
    </row>
    <row r="112" spans="1:7">
      <c r="A112" s="104">
        <v>45352</v>
      </c>
      <c r="B112" s="42">
        <v>311.3</v>
      </c>
      <c r="C112" s="42">
        <v>3586.2</v>
      </c>
      <c r="D112" s="42">
        <v>7544.6</v>
      </c>
      <c r="E112" s="39">
        <v>49.8</v>
      </c>
      <c r="F112" s="12">
        <v>33.3</v>
      </c>
      <c r="G112" s="13">
        <v>38.8</v>
      </c>
    </row>
    <row r="113" spans="1:11">
      <c r="A113" s="106">
        <v>45383</v>
      </c>
      <c r="B113" s="45">
        <v>287.4</v>
      </c>
      <c r="C113" s="45">
        <v>3624</v>
      </c>
      <c r="D113" s="45">
        <v>7624</v>
      </c>
      <c r="E113" s="16">
        <v>48.6</v>
      </c>
      <c r="F113" s="17">
        <v>32.5</v>
      </c>
      <c r="G113" s="18">
        <v>41.1</v>
      </c>
    </row>
    <row r="114" spans="1:11">
      <c r="A114" s="104">
        <v>45413</v>
      </c>
      <c r="B114" s="42">
        <v>271.4</v>
      </c>
      <c r="C114" s="42">
        <v>3737.2</v>
      </c>
      <c r="D114" s="42">
        <v>7862.2</v>
      </c>
      <c r="E114" s="11">
        <v>47.9</v>
      </c>
      <c r="F114" s="12">
        <v>28.1</v>
      </c>
      <c r="G114" s="13">
        <v>46.2</v>
      </c>
    </row>
    <row r="115" spans="1:11">
      <c r="A115" s="106">
        <v>45444</v>
      </c>
      <c r="B115" s="88">
        <v>259.4</v>
      </c>
      <c r="C115" s="45">
        <v>3812.8</v>
      </c>
      <c r="D115" s="45">
        <v>8021.1</v>
      </c>
      <c r="E115" s="16">
        <v>47.8</v>
      </c>
      <c r="F115" s="17">
        <v>27.5</v>
      </c>
      <c r="G115" s="18">
        <v>46.5</v>
      </c>
    </row>
    <row r="116" spans="1:11">
      <c r="A116" s="104">
        <v>45474</v>
      </c>
      <c r="B116" s="42">
        <v>319.3</v>
      </c>
      <c r="C116" s="42">
        <v>3850.5</v>
      </c>
      <c r="D116" s="42">
        <v>8100.5</v>
      </c>
      <c r="E116" s="11">
        <v>47.5</v>
      </c>
      <c r="F116" s="12">
        <v>25.7</v>
      </c>
      <c r="G116" s="13">
        <v>46.9</v>
      </c>
      <c r="K116" s="120"/>
    </row>
    <row r="117" spans="1:11">
      <c r="A117" s="106">
        <v>45505</v>
      </c>
      <c r="B117" s="45">
        <v>351.2</v>
      </c>
      <c r="C117" s="45">
        <v>3888.2</v>
      </c>
      <c r="D117" s="58">
        <v>8179.9</v>
      </c>
      <c r="E117" s="16">
        <v>48</v>
      </c>
      <c r="F117" s="17">
        <v>26.2</v>
      </c>
      <c r="G117" s="18">
        <v>47.5</v>
      </c>
    </row>
    <row r="118" spans="1:11">
      <c r="A118" s="104">
        <v>45536</v>
      </c>
      <c r="B118" s="42">
        <v>367.2</v>
      </c>
      <c r="C118" s="42">
        <v>3850.5</v>
      </c>
      <c r="D118" s="42">
        <v>8100.5</v>
      </c>
      <c r="E118" s="11">
        <v>48.2</v>
      </c>
      <c r="F118" s="12">
        <v>26.4</v>
      </c>
      <c r="G118" s="13">
        <v>46.9</v>
      </c>
    </row>
    <row r="119" spans="1:11">
      <c r="A119" s="106">
        <v>45566</v>
      </c>
      <c r="B119" s="45">
        <v>379.1</v>
      </c>
      <c r="C119" s="45">
        <v>3812.8</v>
      </c>
      <c r="D119" s="45">
        <v>8021.1</v>
      </c>
      <c r="E119" s="16">
        <v>48.5</v>
      </c>
      <c r="F119" s="17">
        <v>27.5</v>
      </c>
      <c r="G119" s="37">
        <v>50.3</v>
      </c>
    </row>
    <row r="120" spans="1:11">
      <c r="A120" s="104">
        <v>45597</v>
      </c>
      <c r="B120" s="42">
        <v>371.2</v>
      </c>
      <c r="C120" s="42">
        <v>3812.8</v>
      </c>
      <c r="D120" s="42">
        <v>8021.1</v>
      </c>
      <c r="E120" s="11">
        <v>49.3</v>
      </c>
      <c r="F120" s="12">
        <v>25</v>
      </c>
      <c r="G120" s="13">
        <v>47.6</v>
      </c>
    </row>
    <row r="121" spans="1:11">
      <c r="A121" s="106">
        <v>45627</v>
      </c>
      <c r="B121" s="45">
        <v>375.1</v>
      </c>
      <c r="C121" s="45">
        <v>3812.7</v>
      </c>
      <c r="D121" s="45">
        <v>8021.1</v>
      </c>
      <c r="E121" s="16">
        <v>49.7</v>
      </c>
      <c r="F121" s="17">
        <v>24.1</v>
      </c>
      <c r="G121" s="18">
        <v>47.1</v>
      </c>
    </row>
  </sheetData>
  <conditionalFormatting sqref="E2:E121">
    <cfRule type="cellIs" dxfId="1" priority="1" operator="greaterThan">
      <formula>20</formula>
    </cfRule>
  </conditionalFormatting>
  <conditionalFormatting sqref="F2:F1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9"/>
  <sheetViews>
    <sheetView zoomScale="115" zoomScaleNormal="115" workbookViewId="0">
      <selection activeCell="E9" sqref="E9"/>
    </sheetView>
  </sheetViews>
  <sheetFormatPr defaultColWidth="9" defaultRowHeight="15" outlineLevelCol="4"/>
  <cols>
    <col min="1" max="1" width="13.1428571428571" customWidth="1"/>
    <col min="2" max="2" width="23.1428571428571" customWidth="1"/>
    <col min="3" max="3" width="23.4285714285714" customWidth="1"/>
    <col min="4" max="4" width="29" customWidth="1"/>
    <col min="5" max="5" width="30.1428571428571" customWidth="1"/>
  </cols>
  <sheetData>
    <row r="3" spans="1:5">
      <c r="A3" t="s">
        <v>54</v>
      </c>
      <c r="B3" t="s">
        <v>55</v>
      </c>
      <c r="C3" t="s">
        <v>56</v>
      </c>
      <c r="D3" t="s">
        <v>57</v>
      </c>
      <c r="E3" t="s">
        <v>58</v>
      </c>
    </row>
    <row r="4" spans="1:5">
      <c r="A4" s="97" t="s">
        <v>59</v>
      </c>
      <c r="B4" s="98">
        <v>18300</v>
      </c>
      <c r="C4" s="98">
        <v>65700</v>
      </c>
      <c r="D4" s="99">
        <v>-47400</v>
      </c>
      <c r="E4" s="100">
        <v>0.278538812785388</v>
      </c>
    </row>
    <row r="5" spans="1:5">
      <c r="A5" s="97" t="s">
        <v>60</v>
      </c>
      <c r="B5" s="98">
        <v>16300</v>
      </c>
      <c r="C5" s="98">
        <v>56700</v>
      </c>
      <c r="D5" s="99">
        <v>-40400</v>
      </c>
      <c r="E5" s="100">
        <v>0.287477954144621</v>
      </c>
    </row>
    <row r="6" spans="1:5">
      <c r="A6" s="97" t="s">
        <v>61</v>
      </c>
      <c r="B6" s="98">
        <v>22400</v>
      </c>
      <c r="C6" s="98">
        <v>61200</v>
      </c>
      <c r="D6" s="99">
        <v>-38800</v>
      </c>
      <c r="E6" s="100">
        <v>0.366013071895425</v>
      </c>
    </row>
    <row r="7" spans="1:5">
      <c r="A7" s="97" t="s">
        <v>62</v>
      </c>
      <c r="B7" s="98">
        <v>26900</v>
      </c>
      <c r="C7" s="98">
        <v>68200</v>
      </c>
      <c r="D7" s="99">
        <v>-41300</v>
      </c>
      <c r="E7" s="100">
        <v>0.394428152492669</v>
      </c>
    </row>
    <row r="8" spans="1:5">
      <c r="A8" s="97" t="s">
        <v>63</v>
      </c>
      <c r="B8" s="98">
        <v>26800</v>
      </c>
      <c r="C8" s="98">
        <v>65900</v>
      </c>
      <c r="D8" s="99">
        <v>-39100</v>
      </c>
      <c r="E8" s="100">
        <v>0.406676783004552</v>
      </c>
    </row>
    <row r="9" spans="1:5">
      <c r="A9" s="97" t="s">
        <v>64</v>
      </c>
      <c r="B9" s="98">
        <v>22400</v>
      </c>
      <c r="C9" s="98">
        <v>56600</v>
      </c>
      <c r="D9" s="99">
        <v>-34200</v>
      </c>
      <c r="E9" s="100">
        <v>0.395759717314488</v>
      </c>
    </row>
    <row r="10" spans="1:5">
      <c r="A10" s="97" t="s">
        <v>65</v>
      </c>
      <c r="B10" s="98">
        <v>32600</v>
      </c>
      <c r="C10" s="98">
        <v>71000</v>
      </c>
      <c r="D10" s="99">
        <v>-38400</v>
      </c>
      <c r="E10" s="100">
        <v>0.459154929577465</v>
      </c>
    </row>
    <row r="11" spans="1:5">
      <c r="A11" s="97" t="s">
        <v>66</v>
      </c>
      <c r="B11" s="98">
        <v>51900</v>
      </c>
      <c r="C11" s="98">
        <v>89300</v>
      </c>
      <c r="D11" s="99">
        <v>-37400</v>
      </c>
      <c r="E11" s="100">
        <v>0.581187010078387</v>
      </c>
    </row>
    <row r="12" spans="1:5">
      <c r="A12" s="97" t="s">
        <v>67</v>
      </c>
      <c r="B12" s="98">
        <v>42600</v>
      </c>
      <c r="C12" s="98">
        <v>84200</v>
      </c>
      <c r="D12" s="99">
        <v>-41600</v>
      </c>
      <c r="E12" s="100">
        <v>0.505938242280285</v>
      </c>
    </row>
    <row r="13" spans="1:5">
      <c r="A13" s="97" t="s">
        <v>68</v>
      </c>
      <c r="B13" s="98">
        <v>45300</v>
      </c>
      <c r="C13" s="98">
        <v>95300</v>
      </c>
      <c r="D13" s="99">
        <v>-50000</v>
      </c>
      <c r="E13" s="100">
        <v>0.475341028331584</v>
      </c>
    </row>
    <row r="19" spans="2:5">
      <c r="B19" s="101" t="s">
        <v>54</v>
      </c>
      <c r="C19" s="101" t="s">
        <v>55</v>
      </c>
      <c r="D19" s="101" t="s">
        <v>56</v>
      </c>
      <c r="E19" s="101" t="s">
        <v>57</v>
      </c>
    </row>
    <row r="20" spans="2:5">
      <c r="B20" s="102" t="s">
        <v>59</v>
      </c>
      <c r="C20" s="103">
        <v>18300</v>
      </c>
      <c r="D20" s="103">
        <v>65700</v>
      </c>
      <c r="E20" s="103">
        <v>-47400</v>
      </c>
    </row>
    <row r="21" spans="2:5">
      <c r="B21" s="102" t="s">
        <v>60</v>
      </c>
      <c r="C21" s="103">
        <v>16300</v>
      </c>
      <c r="D21" s="103">
        <v>56700</v>
      </c>
      <c r="E21" s="103">
        <v>-40400</v>
      </c>
    </row>
    <row r="22" spans="2:5">
      <c r="B22" s="102" t="s">
        <v>61</v>
      </c>
      <c r="C22" s="103">
        <v>22400</v>
      </c>
      <c r="D22" s="103">
        <v>61200</v>
      </c>
      <c r="E22" s="103">
        <v>-38800</v>
      </c>
    </row>
    <row r="23" spans="2:5">
      <c r="B23" s="102" t="s">
        <v>62</v>
      </c>
      <c r="C23" s="103">
        <v>26900</v>
      </c>
      <c r="D23" s="103">
        <v>68200</v>
      </c>
      <c r="E23" s="103">
        <v>-41300</v>
      </c>
    </row>
    <row r="24" spans="2:5">
      <c r="B24" s="102" t="s">
        <v>63</v>
      </c>
      <c r="C24" s="103">
        <v>26800</v>
      </c>
      <c r="D24" s="103">
        <v>65900</v>
      </c>
      <c r="E24" s="103">
        <v>-39100</v>
      </c>
    </row>
    <row r="25" spans="2:5">
      <c r="B25" s="102" t="s">
        <v>64</v>
      </c>
      <c r="C25" s="103">
        <v>22400</v>
      </c>
      <c r="D25" s="103">
        <v>56600</v>
      </c>
      <c r="E25" s="103">
        <v>-34200</v>
      </c>
    </row>
    <row r="26" spans="2:5">
      <c r="B26" s="102" t="s">
        <v>65</v>
      </c>
      <c r="C26" s="103">
        <v>32600</v>
      </c>
      <c r="D26" s="103">
        <v>71000</v>
      </c>
      <c r="E26" s="103">
        <v>-38400</v>
      </c>
    </row>
    <row r="27" spans="2:5">
      <c r="B27" s="102" t="s">
        <v>66</v>
      </c>
      <c r="C27" s="103">
        <v>51900</v>
      </c>
      <c r="D27" s="103">
        <v>89300</v>
      </c>
      <c r="E27" s="103">
        <v>-37400</v>
      </c>
    </row>
    <row r="28" spans="2:5">
      <c r="B28" s="102" t="s">
        <v>67</v>
      </c>
      <c r="C28" s="103">
        <v>42600</v>
      </c>
      <c r="D28" s="103">
        <v>84200</v>
      </c>
      <c r="E28" s="103">
        <v>-41600</v>
      </c>
    </row>
    <row r="29" spans="2:5">
      <c r="B29" s="102" t="s">
        <v>68</v>
      </c>
      <c r="C29" s="103">
        <v>45300</v>
      </c>
      <c r="D29" s="103">
        <v>95300</v>
      </c>
      <c r="E29" s="103">
        <v>-50000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showGridLines="0" showRowColHeaders="0" workbookViewId="0">
      <selection activeCell="A11" sqref="A11"/>
    </sheetView>
  </sheetViews>
  <sheetFormatPr defaultColWidth="8.71428571428571" defaultRowHeight="15" outlineLevelCol="2"/>
  <cols>
    <col min="1" max="1" width="28" customWidth="1"/>
    <col min="2" max="2" width="60" customWidth="1"/>
    <col min="3" max="3" width="30" customWidth="1"/>
  </cols>
  <sheetData>
    <row r="1" ht="17.25" customHeight="1" spans="1:3">
      <c r="A1" s="93" t="s">
        <v>69</v>
      </c>
      <c r="B1" s="93" t="s">
        <v>70</v>
      </c>
    </row>
    <row r="2" customHeight="1" spans="1:3">
      <c r="A2" t="s">
        <v>71</v>
      </c>
      <c r="B2" t="s">
        <v>72</v>
      </c>
    </row>
    <row r="3" customHeight="1" spans="1:3">
      <c r="A3" t="s">
        <v>34</v>
      </c>
      <c r="B3" t="s">
        <v>73</v>
      </c>
    </row>
    <row r="5" customHeight="1" spans="1:3">
      <c r="A5" s="94" t="s">
        <v>74</v>
      </c>
      <c r="B5" s="94" t="s">
        <v>75</v>
      </c>
      <c r="C5" s="94" t="s">
        <v>76</v>
      </c>
    </row>
    <row r="6" customHeight="1" spans="1:3">
      <c r="A6" t="s">
        <v>77</v>
      </c>
      <c r="B6" t="s">
        <v>78</v>
      </c>
      <c r="C6" t="s">
        <v>79</v>
      </c>
    </row>
    <row r="7" customHeight="1" spans="1:3">
      <c r="A7" t="s">
        <v>80</v>
      </c>
      <c r="B7" t="s">
        <v>81</v>
      </c>
      <c r="C7" t="s">
        <v>82</v>
      </c>
    </row>
    <row r="8" customHeight="1" spans="1:3">
      <c r="A8" t="s">
        <v>83</v>
      </c>
      <c r="B8" t="s">
        <v>84</v>
      </c>
      <c r="C8" t="s">
        <v>85</v>
      </c>
    </row>
    <row r="9" customHeight="1" spans="1:3">
      <c r="A9" t="s">
        <v>86</v>
      </c>
      <c r="B9" t="s">
        <v>87</v>
      </c>
      <c r="C9" t="s">
        <v>88</v>
      </c>
    </row>
    <row r="11" customHeight="1" spans="1:3">
      <c r="A11" s="94" t="s">
        <v>89</v>
      </c>
      <c r="B11" s="94"/>
      <c r="C11" s="94"/>
    </row>
    <row r="12" customHeight="1" spans="1:3">
      <c r="A12" t="s">
        <v>16</v>
      </c>
      <c r="B12" t="s">
        <v>90</v>
      </c>
    </row>
    <row r="13" customHeight="1" spans="1:3">
      <c r="A13" t="s">
        <v>91</v>
      </c>
      <c r="B13" t="s">
        <v>92</v>
      </c>
      <c r="C13" t="s">
        <v>93</v>
      </c>
    </row>
    <row r="14" customHeight="1" spans="1:3">
      <c r="A14" t="s">
        <v>94</v>
      </c>
      <c r="B14" t="s">
        <v>95</v>
      </c>
      <c r="C14" t="s">
        <v>96</v>
      </c>
    </row>
    <row r="15" customHeight="1" spans="1:3">
      <c r="A15" t="s">
        <v>97</v>
      </c>
      <c r="B15" t="s">
        <v>98</v>
      </c>
      <c r="C15" t="s">
        <v>96</v>
      </c>
    </row>
    <row r="16" customHeight="1" spans="1:3">
      <c r="A16" t="s">
        <v>99</v>
      </c>
      <c r="B16" t="s">
        <v>100</v>
      </c>
      <c r="C16" t="s">
        <v>101</v>
      </c>
    </row>
    <row r="17" customHeight="1" spans="1:3">
      <c r="A17" t="s">
        <v>102</v>
      </c>
      <c r="B17" t="s">
        <v>103</v>
      </c>
      <c r="C17" t="s">
        <v>104</v>
      </c>
    </row>
    <row r="18" customHeight="1" spans="1:3">
      <c r="A18" t="s">
        <v>105</v>
      </c>
      <c r="B18" t="s">
        <v>106</v>
      </c>
      <c r="C18" t="s">
        <v>104</v>
      </c>
    </row>
    <row r="19" customHeight="1" spans="1:3">
      <c r="A19" t="s">
        <v>107</v>
      </c>
      <c r="B19" t="s">
        <v>108</v>
      </c>
      <c r="C19" t="s">
        <v>101</v>
      </c>
    </row>
    <row r="20" customHeight="1" spans="1:3">
      <c r="A20" t="s">
        <v>109</v>
      </c>
      <c r="B20" t="s">
        <v>110</v>
      </c>
      <c r="C20" t="s">
        <v>101</v>
      </c>
    </row>
    <row r="21" customHeight="1" spans="1:3">
      <c r="A21" t="s">
        <v>111</v>
      </c>
      <c r="B21" t="s">
        <v>112</v>
      </c>
      <c r="C21" t="s">
        <v>113</v>
      </c>
    </row>
    <row r="22" customHeight="1" spans="1:3">
      <c r="A22" t="s">
        <v>114</v>
      </c>
      <c r="B22" t="s">
        <v>115</v>
      </c>
      <c r="C22" t="s">
        <v>104</v>
      </c>
    </row>
    <row r="23" customHeight="1" spans="1:3">
      <c r="A23" t="s">
        <v>116</v>
      </c>
      <c r="B23" t="s">
        <v>117</v>
      </c>
      <c r="C23" t="s">
        <v>113</v>
      </c>
    </row>
    <row r="24" customHeight="1" spans="1:3">
      <c r="A24" t="s">
        <v>118</v>
      </c>
      <c r="B24" t="s">
        <v>119</v>
      </c>
      <c r="C24" t="s">
        <v>120</v>
      </c>
    </row>
    <row r="26" customHeight="1" spans="1:3">
      <c r="A26" s="95" t="s">
        <v>121</v>
      </c>
      <c r="B26" s="96" t="s">
        <v>122</v>
      </c>
    </row>
    <row r="27" customHeight="1" spans="1:3">
      <c r="A27" t="s">
        <v>123</v>
      </c>
      <c r="B27" t="s">
        <v>124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9"/>
  <sheetViews>
    <sheetView showGridLines="0" workbookViewId="0">
      <pane ySplit="2" topLeftCell="A3" activePane="bottomLeft" state="frozen"/>
      <selection/>
      <selection pane="bottomLeft" activeCell="H117" sqref="H117"/>
    </sheetView>
  </sheetViews>
  <sheetFormatPr defaultColWidth="8.71428571428571" defaultRowHeight="15"/>
  <cols>
    <col min="1" max="1" width="12" customWidth="1"/>
    <col min="2" max="2" width="16" customWidth="1"/>
    <col min="3" max="3" width="12" customWidth="1"/>
    <col min="4" max="5" width="18" customWidth="1"/>
    <col min="6" max="6" width="22" customWidth="1"/>
    <col min="7" max="7" width="32.1428571428571" customWidth="1"/>
    <col min="10" max="11" width="10.2857142857143" customWidth="1"/>
  </cols>
  <sheetData>
    <row r="1" ht="27.75" customHeight="1" spans="1:12">
      <c r="A1" s="64" t="s">
        <v>125</v>
      </c>
      <c r="B1" s="65"/>
      <c r="C1" s="65"/>
      <c r="D1" s="65"/>
      <c r="E1" s="65"/>
      <c r="F1" s="66"/>
    </row>
    <row r="2" s="63" customFormat="1" ht="36" customHeight="1" spans="1:12">
      <c r="A2" s="7" t="s">
        <v>16</v>
      </c>
      <c r="B2" s="8" t="s">
        <v>43</v>
      </c>
      <c r="C2" s="8" t="s">
        <v>126</v>
      </c>
      <c r="D2" s="8" t="s">
        <v>127</v>
      </c>
      <c r="E2" s="8" t="s">
        <v>128</v>
      </c>
      <c r="F2" s="9" t="s">
        <v>129</v>
      </c>
      <c r="G2" s="8" t="s">
        <v>130</v>
      </c>
    </row>
    <row r="3" customHeight="1" spans="1:12">
      <c r="A3" s="10">
        <v>42005</v>
      </c>
      <c r="B3" s="42">
        <v>456.9</v>
      </c>
      <c r="C3" s="67">
        <v>1486</v>
      </c>
      <c r="D3" s="13">
        <v>81.8</v>
      </c>
      <c r="E3" s="68">
        <f>(B3*1000000)/C3</f>
        <v>307469.717362046</v>
      </c>
      <c r="F3" s="69" t="s">
        <v>131</v>
      </c>
      <c r="G3" s="70"/>
    </row>
    <row r="4" customHeight="1" spans="1:12">
      <c r="A4" s="15">
        <v>42036</v>
      </c>
      <c r="B4" s="45">
        <v>434.5</v>
      </c>
      <c r="C4" s="71">
        <v>1413</v>
      </c>
      <c r="D4" s="18">
        <v>77.8</v>
      </c>
      <c r="E4" s="68">
        <f t="shared" ref="E4:E67" si="0">(B4*1000000)/C4</f>
        <v>307501.769285209</v>
      </c>
      <c r="F4" s="19" t="s">
        <v>131</v>
      </c>
      <c r="G4" s="70"/>
      <c r="L4" s="72">
        <f>CORREL(Table2[[#All],[Ships
(count)]],Table4[[#All],[Brent Oil
(USD/barrel)]])</f>
        <v>0.422534278384785</v>
      </c>
    </row>
    <row r="5" customHeight="1" spans="1:12">
      <c r="A5" s="10">
        <v>42064</v>
      </c>
      <c r="B5" s="42">
        <v>425.5</v>
      </c>
      <c r="C5" s="67">
        <v>1384</v>
      </c>
      <c r="D5" s="13">
        <v>76.2</v>
      </c>
      <c r="E5" s="68">
        <f t="shared" si="0"/>
        <v>307442.196531792</v>
      </c>
      <c r="F5" s="14" t="s">
        <v>131</v>
      </c>
      <c r="G5" s="70"/>
    </row>
    <row r="6" customHeight="1" spans="1:12">
      <c r="A6" s="15">
        <v>42095</v>
      </c>
      <c r="B6" s="45">
        <v>430</v>
      </c>
      <c r="C6" s="71">
        <v>1399</v>
      </c>
      <c r="D6" s="18">
        <v>77</v>
      </c>
      <c r="E6" s="68">
        <f t="shared" si="0"/>
        <v>307362.401715511</v>
      </c>
      <c r="F6" s="19" t="s">
        <v>131</v>
      </c>
      <c r="G6" s="70"/>
    </row>
    <row r="7" customHeight="1" spans="1:12">
      <c r="A7" s="10">
        <v>42125</v>
      </c>
      <c r="B7" s="42">
        <v>443.4</v>
      </c>
      <c r="C7" s="67">
        <v>1442</v>
      </c>
      <c r="D7" s="13">
        <v>79.4</v>
      </c>
      <c r="E7" s="68">
        <f t="shared" si="0"/>
        <v>307489.59778086</v>
      </c>
      <c r="F7" s="14" t="s">
        <v>131</v>
      </c>
      <c r="G7" s="70"/>
    </row>
    <row r="8" customHeight="1" spans="1:12">
      <c r="A8" s="15">
        <v>42156</v>
      </c>
      <c r="B8" s="45">
        <v>452.4</v>
      </c>
      <c r="C8" s="71">
        <v>1471</v>
      </c>
      <c r="D8" s="18">
        <v>81</v>
      </c>
      <c r="E8" s="68">
        <f t="shared" si="0"/>
        <v>307545.887151598</v>
      </c>
      <c r="F8" s="19" t="s">
        <v>131</v>
      </c>
      <c r="G8" s="70"/>
    </row>
    <row r="9" customHeight="1" spans="1:12">
      <c r="A9" s="10">
        <v>42186</v>
      </c>
      <c r="B9" s="42">
        <v>456.9</v>
      </c>
      <c r="C9" s="67">
        <v>1486</v>
      </c>
      <c r="D9" s="13">
        <v>81.8</v>
      </c>
      <c r="E9" s="68">
        <f t="shared" si="0"/>
        <v>307469.717362046</v>
      </c>
      <c r="F9" s="14" t="s">
        <v>131</v>
      </c>
      <c r="G9" s="70"/>
    </row>
    <row r="10" customHeight="1" spans="1:12">
      <c r="A10" s="15">
        <v>42217</v>
      </c>
      <c r="B10" s="45">
        <v>461.4</v>
      </c>
      <c r="C10" s="71">
        <v>1501</v>
      </c>
      <c r="D10" s="18">
        <v>82.6</v>
      </c>
      <c r="E10" s="68">
        <f t="shared" si="0"/>
        <v>307395.069953364</v>
      </c>
      <c r="F10" s="19" t="s">
        <v>131</v>
      </c>
      <c r="G10" s="70"/>
    </row>
    <row r="11" customHeight="1" spans="1:12">
      <c r="A11" s="10">
        <v>42248</v>
      </c>
      <c r="B11" s="42">
        <v>456.9</v>
      </c>
      <c r="C11" s="67">
        <v>1486</v>
      </c>
      <c r="D11" s="13">
        <v>81.8</v>
      </c>
      <c r="E11" s="68">
        <f t="shared" si="0"/>
        <v>307469.717362046</v>
      </c>
      <c r="F11" s="14" t="s">
        <v>131</v>
      </c>
      <c r="G11" s="70"/>
    </row>
    <row r="12" customHeight="1" spans="1:12">
      <c r="A12" s="15">
        <v>42278</v>
      </c>
      <c r="B12" s="45">
        <v>452.4</v>
      </c>
      <c r="C12" s="71">
        <v>1471</v>
      </c>
      <c r="D12" s="18">
        <v>81</v>
      </c>
      <c r="E12" s="68">
        <f t="shared" si="0"/>
        <v>307545.887151598</v>
      </c>
      <c r="F12" s="19" t="s">
        <v>131</v>
      </c>
      <c r="G12" s="70"/>
    </row>
    <row r="13" customHeight="1" spans="1:12">
      <c r="A13" s="10">
        <v>42309</v>
      </c>
      <c r="B13" s="42">
        <v>452.4</v>
      </c>
      <c r="C13" s="67">
        <v>1471</v>
      </c>
      <c r="D13" s="13">
        <v>81</v>
      </c>
      <c r="E13" s="68">
        <f t="shared" si="0"/>
        <v>307545.887151598</v>
      </c>
      <c r="F13" s="14" t="s">
        <v>131</v>
      </c>
      <c r="G13" s="70"/>
    </row>
    <row r="14" customHeight="1" spans="1:12">
      <c r="A14" s="15">
        <v>42339</v>
      </c>
      <c r="B14" s="45">
        <v>452.3</v>
      </c>
      <c r="C14" s="71">
        <v>1473</v>
      </c>
      <c r="D14" s="18">
        <v>80.6</v>
      </c>
      <c r="E14" s="68">
        <f t="shared" si="0"/>
        <v>307060.420909708</v>
      </c>
      <c r="F14" s="19" t="s">
        <v>131</v>
      </c>
      <c r="G14" s="73">
        <f>AVERAGE(B3:B14)</f>
        <v>447.916666666667</v>
      </c>
    </row>
    <row r="15" customHeight="1" spans="1:12">
      <c r="A15" s="10">
        <v>42370</v>
      </c>
      <c r="B15" s="42">
        <v>416.2</v>
      </c>
      <c r="C15" s="67">
        <v>1422</v>
      </c>
      <c r="D15" s="13">
        <v>79</v>
      </c>
      <c r="E15" s="68">
        <f t="shared" si="0"/>
        <v>292686.357243319</v>
      </c>
      <c r="F15" s="14" t="s">
        <v>131</v>
      </c>
      <c r="G15" s="73">
        <f>AVERAGE(B4:B15)</f>
        <v>444.525</v>
      </c>
    </row>
    <row r="16" customHeight="1" spans="1:12">
      <c r="A16" s="15">
        <v>42401</v>
      </c>
      <c r="B16" s="45">
        <v>395.8</v>
      </c>
      <c r="C16" s="71">
        <v>1352</v>
      </c>
      <c r="D16" s="18">
        <v>75.2</v>
      </c>
      <c r="E16" s="68">
        <f t="shared" si="0"/>
        <v>292751.479289941</v>
      </c>
      <c r="F16" s="19" t="s">
        <v>131</v>
      </c>
      <c r="G16" s="73">
        <f t="shared" ref="G16:G79" si="1">AVERAGE(B5:B16)</f>
        <v>441.3</v>
      </c>
    </row>
    <row r="17" customHeight="1" spans="1:7">
      <c r="A17" s="10">
        <v>42430</v>
      </c>
      <c r="B17" s="42">
        <v>387.7</v>
      </c>
      <c r="C17" s="67">
        <v>1324</v>
      </c>
      <c r="D17" s="13">
        <v>73.6</v>
      </c>
      <c r="E17" s="68">
        <f t="shared" si="0"/>
        <v>292824.773413897</v>
      </c>
      <c r="F17" s="14" t="s">
        <v>131</v>
      </c>
      <c r="G17" s="73">
        <f t="shared" si="1"/>
        <v>438.15</v>
      </c>
    </row>
    <row r="18" customHeight="1" spans="1:7">
      <c r="A18" s="15">
        <v>42461</v>
      </c>
      <c r="B18" s="45">
        <v>391.8</v>
      </c>
      <c r="C18" s="71">
        <v>1338</v>
      </c>
      <c r="D18" s="18">
        <v>74.4</v>
      </c>
      <c r="E18" s="68">
        <f t="shared" si="0"/>
        <v>292825.112107623</v>
      </c>
      <c r="F18" s="19" t="s">
        <v>131</v>
      </c>
      <c r="G18" s="73">
        <f t="shared" si="1"/>
        <v>434.966666666667</v>
      </c>
    </row>
    <row r="19" customHeight="1" spans="1:7">
      <c r="A19" s="10">
        <v>42491</v>
      </c>
      <c r="B19" s="42">
        <v>404</v>
      </c>
      <c r="C19" s="67">
        <v>1380</v>
      </c>
      <c r="D19" s="13">
        <v>76.7</v>
      </c>
      <c r="E19" s="68">
        <f t="shared" si="0"/>
        <v>292753.623188406</v>
      </c>
      <c r="F19" s="14" t="s">
        <v>131</v>
      </c>
      <c r="G19" s="73">
        <f t="shared" si="1"/>
        <v>431.683333333333</v>
      </c>
    </row>
    <row r="20" customHeight="1" spans="1:7">
      <c r="A20" s="15">
        <v>42522</v>
      </c>
      <c r="B20" s="45">
        <v>412.2</v>
      </c>
      <c r="C20" s="71">
        <v>1408</v>
      </c>
      <c r="D20" s="18">
        <v>78.3</v>
      </c>
      <c r="E20" s="68">
        <f t="shared" si="0"/>
        <v>292755.681818182</v>
      </c>
      <c r="F20" s="19" t="s">
        <v>131</v>
      </c>
      <c r="G20" s="73">
        <f t="shared" si="1"/>
        <v>428.333333333333</v>
      </c>
    </row>
    <row r="21" customHeight="1" spans="1:7">
      <c r="A21" s="10">
        <v>42552</v>
      </c>
      <c r="B21" s="42">
        <v>416.2</v>
      </c>
      <c r="C21" s="67">
        <v>1422</v>
      </c>
      <c r="D21" s="13">
        <v>79</v>
      </c>
      <c r="E21" s="68">
        <f t="shared" si="0"/>
        <v>292686.357243319</v>
      </c>
      <c r="F21" s="14" t="s">
        <v>131</v>
      </c>
      <c r="G21" s="73">
        <f t="shared" si="1"/>
        <v>424.941666666667</v>
      </c>
    </row>
    <row r="22" customHeight="1" spans="1:7">
      <c r="A22" s="15">
        <v>42583</v>
      </c>
      <c r="B22" s="45">
        <v>420.3</v>
      </c>
      <c r="C22" s="71">
        <v>1435</v>
      </c>
      <c r="D22" s="18">
        <v>79.8</v>
      </c>
      <c r="E22" s="68">
        <f t="shared" si="0"/>
        <v>292891.986062718</v>
      </c>
      <c r="F22" s="19" t="s">
        <v>131</v>
      </c>
      <c r="G22" s="73">
        <f t="shared" si="1"/>
        <v>421.516666666667</v>
      </c>
    </row>
    <row r="23" customHeight="1" spans="1:7">
      <c r="A23" s="10">
        <v>42614</v>
      </c>
      <c r="B23" s="42">
        <v>416.2</v>
      </c>
      <c r="C23" s="67">
        <v>1422</v>
      </c>
      <c r="D23" s="13">
        <v>79</v>
      </c>
      <c r="E23" s="68">
        <f t="shared" si="0"/>
        <v>292686.357243319</v>
      </c>
      <c r="F23" s="14" t="s">
        <v>131</v>
      </c>
      <c r="G23" s="73">
        <f t="shared" si="1"/>
        <v>418.125</v>
      </c>
    </row>
    <row r="24" customHeight="1" spans="1:7">
      <c r="A24" s="15">
        <v>42644</v>
      </c>
      <c r="B24" s="45">
        <v>412.2</v>
      </c>
      <c r="C24" s="71">
        <v>1408</v>
      </c>
      <c r="D24" s="18">
        <v>78.3</v>
      </c>
      <c r="E24" s="68">
        <f t="shared" si="0"/>
        <v>292755.681818182</v>
      </c>
      <c r="F24" s="19" t="s">
        <v>131</v>
      </c>
      <c r="G24" s="73">
        <f t="shared" si="1"/>
        <v>414.775</v>
      </c>
    </row>
    <row r="25" customHeight="1" spans="1:7">
      <c r="A25" s="10">
        <v>42675</v>
      </c>
      <c r="B25" s="42">
        <v>412.2</v>
      </c>
      <c r="C25" s="67">
        <v>1408</v>
      </c>
      <c r="D25" s="13">
        <v>78.3</v>
      </c>
      <c r="E25" s="68">
        <f t="shared" si="0"/>
        <v>292755.681818182</v>
      </c>
      <c r="F25" s="14" t="s">
        <v>131</v>
      </c>
      <c r="G25" s="73">
        <f t="shared" si="1"/>
        <v>411.425</v>
      </c>
    </row>
    <row r="26" customHeight="1" spans="1:7">
      <c r="A26" s="15">
        <v>42705</v>
      </c>
      <c r="B26" s="45">
        <v>412.2</v>
      </c>
      <c r="C26" s="71">
        <v>1405</v>
      </c>
      <c r="D26" s="18">
        <v>78.4</v>
      </c>
      <c r="E26" s="68">
        <f t="shared" si="0"/>
        <v>293380.782918149</v>
      </c>
      <c r="F26" s="19" t="s">
        <v>131</v>
      </c>
      <c r="G26" s="73">
        <f t="shared" si="1"/>
        <v>408.083333333333</v>
      </c>
    </row>
    <row r="27" customHeight="1" spans="1:7">
      <c r="A27" s="10">
        <v>42736</v>
      </c>
      <c r="B27" s="42">
        <v>427.2</v>
      </c>
      <c r="C27" s="67">
        <v>1492</v>
      </c>
      <c r="D27" s="13">
        <v>85.4</v>
      </c>
      <c r="E27" s="68">
        <f t="shared" si="0"/>
        <v>286327.077747989</v>
      </c>
      <c r="F27" s="14" t="s">
        <v>131</v>
      </c>
      <c r="G27" s="73">
        <f t="shared" si="1"/>
        <v>409</v>
      </c>
    </row>
    <row r="28" customHeight="1" spans="1:7">
      <c r="A28" s="15">
        <v>42767</v>
      </c>
      <c r="B28" s="45">
        <v>406.3</v>
      </c>
      <c r="C28" s="71">
        <v>1419</v>
      </c>
      <c r="D28" s="18">
        <v>81.2</v>
      </c>
      <c r="E28" s="68">
        <f t="shared" si="0"/>
        <v>286328.400281889</v>
      </c>
      <c r="F28" s="19" t="s">
        <v>131</v>
      </c>
      <c r="G28" s="73">
        <f t="shared" si="1"/>
        <v>409.875</v>
      </c>
    </row>
    <row r="29" customHeight="1" spans="1:7">
      <c r="A29" s="10">
        <v>42795</v>
      </c>
      <c r="B29" s="42">
        <v>397.9</v>
      </c>
      <c r="C29" s="67">
        <v>1389</v>
      </c>
      <c r="D29" s="13">
        <v>79.6</v>
      </c>
      <c r="E29" s="68">
        <f t="shared" si="0"/>
        <v>286465.082793377</v>
      </c>
      <c r="F29" s="14" t="s">
        <v>131</v>
      </c>
      <c r="G29" s="73">
        <f t="shared" si="1"/>
        <v>410.725</v>
      </c>
    </row>
    <row r="30" customHeight="1" spans="1:7">
      <c r="A30" s="15">
        <v>42826</v>
      </c>
      <c r="B30" s="45">
        <v>402.1</v>
      </c>
      <c r="C30" s="71">
        <v>1404</v>
      </c>
      <c r="D30" s="18">
        <v>80.4</v>
      </c>
      <c r="E30" s="68">
        <f t="shared" si="0"/>
        <v>286396.011396011</v>
      </c>
      <c r="F30" s="19" t="s">
        <v>131</v>
      </c>
      <c r="G30" s="73">
        <f t="shared" si="1"/>
        <v>411.583333333333</v>
      </c>
    </row>
    <row r="31" customHeight="1" spans="1:7">
      <c r="A31" s="10">
        <v>42856</v>
      </c>
      <c r="B31" s="42">
        <v>414.6</v>
      </c>
      <c r="C31" s="67">
        <v>1448</v>
      </c>
      <c r="D31" s="13">
        <v>82.9</v>
      </c>
      <c r="E31" s="68">
        <f t="shared" si="0"/>
        <v>286325.966850829</v>
      </c>
      <c r="F31" s="14" t="s">
        <v>131</v>
      </c>
      <c r="G31" s="73">
        <f t="shared" si="1"/>
        <v>412.466666666667</v>
      </c>
    </row>
    <row r="32" customHeight="1" spans="1:7">
      <c r="A32" s="15">
        <v>42887</v>
      </c>
      <c r="B32" s="45">
        <v>423</v>
      </c>
      <c r="C32" s="71">
        <v>1477</v>
      </c>
      <c r="D32" s="18">
        <v>84.6</v>
      </c>
      <c r="E32" s="68">
        <f t="shared" si="0"/>
        <v>286391.333784699</v>
      </c>
      <c r="F32" s="19" t="s">
        <v>131</v>
      </c>
      <c r="G32" s="73">
        <f t="shared" si="1"/>
        <v>413.366666666667</v>
      </c>
    </row>
    <row r="33" customHeight="1" spans="1:7">
      <c r="A33" s="10">
        <v>42917</v>
      </c>
      <c r="B33" s="42">
        <v>427.2</v>
      </c>
      <c r="C33" s="67">
        <v>1492</v>
      </c>
      <c r="D33" s="13">
        <v>85.4</v>
      </c>
      <c r="E33" s="68">
        <f t="shared" si="0"/>
        <v>286327.077747989</v>
      </c>
      <c r="F33" s="14" t="s">
        <v>131</v>
      </c>
      <c r="G33" s="73">
        <f t="shared" si="1"/>
        <v>414.283333333333</v>
      </c>
    </row>
    <row r="34" customHeight="1" spans="1:7">
      <c r="A34" s="15">
        <v>42948</v>
      </c>
      <c r="B34" s="45">
        <v>431.4</v>
      </c>
      <c r="C34" s="71">
        <v>1506</v>
      </c>
      <c r="D34" s="18">
        <v>86.3</v>
      </c>
      <c r="E34" s="68">
        <f t="shared" si="0"/>
        <v>286454.183266932</v>
      </c>
      <c r="F34" s="19" t="s">
        <v>131</v>
      </c>
      <c r="G34" s="73">
        <f t="shared" si="1"/>
        <v>415.208333333333</v>
      </c>
    </row>
    <row r="35" customHeight="1" spans="1:7">
      <c r="A35" s="10">
        <v>42979</v>
      </c>
      <c r="B35" s="42">
        <v>427.2</v>
      </c>
      <c r="C35" s="67">
        <v>1492</v>
      </c>
      <c r="D35" s="13">
        <v>85.4</v>
      </c>
      <c r="E35" s="68">
        <f t="shared" si="0"/>
        <v>286327.077747989</v>
      </c>
      <c r="F35" s="14" t="s">
        <v>131</v>
      </c>
      <c r="G35" s="73">
        <f t="shared" si="1"/>
        <v>416.125</v>
      </c>
    </row>
    <row r="36" customHeight="1" spans="1:7">
      <c r="A36" s="15">
        <v>43009</v>
      </c>
      <c r="B36" s="45">
        <v>423</v>
      </c>
      <c r="C36" s="71">
        <v>1477</v>
      </c>
      <c r="D36" s="18">
        <v>84.6</v>
      </c>
      <c r="E36" s="68">
        <f t="shared" si="0"/>
        <v>286391.333784699</v>
      </c>
      <c r="F36" s="19" t="s">
        <v>131</v>
      </c>
      <c r="G36" s="73">
        <f t="shared" si="1"/>
        <v>417.025</v>
      </c>
    </row>
    <row r="37" customHeight="1" spans="1:7">
      <c r="A37" s="10">
        <v>43040</v>
      </c>
      <c r="B37" s="42">
        <v>423</v>
      </c>
      <c r="C37" s="67">
        <v>1477</v>
      </c>
      <c r="D37" s="13">
        <v>84.6</v>
      </c>
      <c r="E37" s="68">
        <f t="shared" si="0"/>
        <v>286391.333784699</v>
      </c>
      <c r="F37" s="14" t="s">
        <v>131</v>
      </c>
      <c r="G37" s="73">
        <f t="shared" si="1"/>
        <v>417.925</v>
      </c>
    </row>
    <row r="38" customHeight="1" spans="1:7">
      <c r="A38" s="15">
        <v>43070</v>
      </c>
      <c r="B38" s="45">
        <v>423.1</v>
      </c>
      <c r="C38" s="71">
        <v>1477</v>
      </c>
      <c r="D38" s="18">
        <v>84.6</v>
      </c>
      <c r="E38" s="68">
        <f t="shared" si="0"/>
        <v>286459.03859174</v>
      </c>
      <c r="F38" s="19" t="s">
        <v>131</v>
      </c>
      <c r="G38" s="73">
        <f t="shared" si="1"/>
        <v>418.833333333333</v>
      </c>
    </row>
    <row r="39" customHeight="1" spans="1:7">
      <c r="A39" s="10">
        <v>43101</v>
      </c>
      <c r="B39" s="42">
        <v>474.7</v>
      </c>
      <c r="C39" s="67">
        <v>1545</v>
      </c>
      <c r="D39" s="13">
        <v>91.5</v>
      </c>
      <c r="E39" s="68">
        <f t="shared" si="0"/>
        <v>307249.190938511</v>
      </c>
      <c r="F39" s="14" t="s">
        <v>131</v>
      </c>
      <c r="G39" s="73">
        <f t="shared" si="1"/>
        <v>422.791666666667</v>
      </c>
    </row>
    <row r="40" customHeight="1" spans="1:7">
      <c r="A40" s="15">
        <v>43132</v>
      </c>
      <c r="B40" s="45">
        <v>451.5</v>
      </c>
      <c r="C40" s="71">
        <v>1469</v>
      </c>
      <c r="D40" s="18">
        <v>87</v>
      </c>
      <c r="E40" s="68">
        <f t="shared" si="0"/>
        <v>307351.940095303</v>
      </c>
      <c r="F40" s="19" t="s">
        <v>131</v>
      </c>
      <c r="G40" s="73">
        <f t="shared" si="1"/>
        <v>426.558333333333</v>
      </c>
    </row>
    <row r="41" customHeight="1" spans="1:7">
      <c r="A41" s="10">
        <v>43160</v>
      </c>
      <c r="B41" s="42">
        <v>442.1</v>
      </c>
      <c r="C41" s="67">
        <v>1439</v>
      </c>
      <c r="D41" s="13">
        <v>85.2</v>
      </c>
      <c r="E41" s="68">
        <f t="shared" si="0"/>
        <v>307227.24113968</v>
      </c>
      <c r="F41" s="14" t="s">
        <v>131</v>
      </c>
      <c r="G41" s="73">
        <f t="shared" si="1"/>
        <v>430.241666666667</v>
      </c>
    </row>
    <row r="42" customHeight="1" spans="1:7">
      <c r="A42" s="15">
        <v>43191</v>
      </c>
      <c r="B42" s="45">
        <v>446.8</v>
      </c>
      <c r="C42" s="71">
        <v>1454</v>
      </c>
      <c r="D42" s="18">
        <v>86.1</v>
      </c>
      <c r="E42" s="68">
        <f t="shared" si="0"/>
        <v>307290.233837689</v>
      </c>
      <c r="F42" s="19" t="s">
        <v>131</v>
      </c>
      <c r="G42" s="73">
        <f t="shared" si="1"/>
        <v>433.966666666667</v>
      </c>
    </row>
    <row r="43" customHeight="1" spans="1:7">
      <c r="A43" s="10">
        <v>43221</v>
      </c>
      <c r="B43" s="42">
        <v>460.8</v>
      </c>
      <c r="C43" s="67">
        <v>1499</v>
      </c>
      <c r="D43" s="13">
        <v>88.8</v>
      </c>
      <c r="E43" s="68">
        <f t="shared" si="0"/>
        <v>307404.936624416</v>
      </c>
      <c r="F43" s="14" t="s">
        <v>131</v>
      </c>
      <c r="G43" s="73">
        <f t="shared" si="1"/>
        <v>437.816666666667</v>
      </c>
    </row>
    <row r="44" customHeight="1" spans="1:7">
      <c r="A44" s="15">
        <v>43252</v>
      </c>
      <c r="B44" s="45">
        <v>470.1</v>
      </c>
      <c r="C44" s="71">
        <v>1530</v>
      </c>
      <c r="D44" s="18">
        <v>90.6</v>
      </c>
      <c r="E44" s="68">
        <f t="shared" si="0"/>
        <v>307254.901960784</v>
      </c>
      <c r="F44" s="19" t="s">
        <v>131</v>
      </c>
      <c r="G44" s="73">
        <f t="shared" si="1"/>
        <v>441.741666666667</v>
      </c>
    </row>
    <row r="45" customHeight="1" spans="1:7">
      <c r="A45" s="10">
        <v>43282</v>
      </c>
      <c r="B45" s="42">
        <v>474.7</v>
      </c>
      <c r="C45" s="67">
        <v>1545</v>
      </c>
      <c r="D45" s="13">
        <v>91.5</v>
      </c>
      <c r="E45" s="68">
        <f t="shared" si="0"/>
        <v>307249.190938511</v>
      </c>
      <c r="F45" s="14" t="s">
        <v>131</v>
      </c>
      <c r="G45" s="73">
        <f t="shared" si="1"/>
        <v>445.7</v>
      </c>
    </row>
    <row r="46" customHeight="1" spans="1:7">
      <c r="A46" s="15">
        <v>43313</v>
      </c>
      <c r="B46" s="45">
        <v>479.4</v>
      </c>
      <c r="C46" s="71">
        <v>1560</v>
      </c>
      <c r="D46" s="18">
        <v>92.4</v>
      </c>
      <c r="E46" s="68">
        <f t="shared" si="0"/>
        <v>307307.692307692</v>
      </c>
      <c r="F46" s="19" t="s">
        <v>131</v>
      </c>
      <c r="G46" s="73">
        <f t="shared" si="1"/>
        <v>449.7</v>
      </c>
    </row>
    <row r="47" customHeight="1" spans="1:7">
      <c r="A47" s="10">
        <v>43344</v>
      </c>
      <c r="B47" s="42">
        <v>474.7</v>
      </c>
      <c r="C47" s="67">
        <v>1545</v>
      </c>
      <c r="D47" s="13">
        <v>91.5</v>
      </c>
      <c r="E47" s="68">
        <f t="shared" si="0"/>
        <v>307249.190938511</v>
      </c>
      <c r="F47" s="14" t="s">
        <v>131</v>
      </c>
      <c r="G47" s="73">
        <f t="shared" si="1"/>
        <v>453.658333333333</v>
      </c>
    </row>
    <row r="48" customHeight="1" spans="1:7">
      <c r="A48" s="15">
        <v>43374</v>
      </c>
      <c r="B48" s="45">
        <v>470.1</v>
      </c>
      <c r="C48" s="71">
        <v>1530</v>
      </c>
      <c r="D48" s="18">
        <v>90.6</v>
      </c>
      <c r="E48" s="68">
        <f t="shared" si="0"/>
        <v>307254.901960784</v>
      </c>
      <c r="F48" s="19" t="s">
        <v>131</v>
      </c>
      <c r="G48" s="73">
        <f t="shared" si="1"/>
        <v>457.583333333333</v>
      </c>
    </row>
    <row r="49" customHeight="1" spans="1:11">
      <c r="A49" s="10">
        <v>43405</v>
      </c>
      <c r="B49" s="42">
        <v>470.1</v>
      </c>
      <c r="C49" s="67">
        <v>1530</v>
      </c>
      <c r="D49" s="13">
        <v>90.6</v>
      </c>
      <c r="E49" s="68">
        <f t="shared" si="0"/>
        <v>307254.901960784</v>
      </c>
      <c r="F49" s="14" t="s">
        <v>131</v>
      </c>
      <c r="G49" s="73">
        <f t="shared" si="1"/>
        <v>461.508333333333</v>
      </c>
    </row>
    <row r="50" customHeight="1" spans="1:11">
      <c r="A50" s="15">
        <v>43435</v>
      </c>
      <c r="B50" s="45">
        <v>470</v>
      </c>
      <c r="C50" s="71">
        <v>1528</v>
      </c>
      <c r="D50" s="18">
        <v>90.2</v>
      </c>
      <c r="E50" s="68">
        <f t="shared" si="0"/>
        <v>307591.623036649</v>
      </c>
      <c r="F50" s="19" t="s">
        <v>131</v>
      </c>
      <c r="G50" s="73">
        <f t="shared" si="1"/>
        <v>465.416666666667</v>
      </c>
    </row>
    <row r="51" customHeight="1" spans="1:11">
      <c r="A51" s="10">
        <v>43466</v>
      </c>
      <c r="B51" s="42">
        <v>493.3</v>
      </c>
      <c r="C51" s="67">
        <v>1605</v>
      </c>
      <c r="D51" s="13">
        <v>102.6</v>
      </c>
      <c r="E51" s="68">
        <f t="shared" si="0"/>
        <v>307352.024922118</v>
      </c>
      <c r="F51" s="14" t="s">
        <v>131</v>
      </c>
      <c r="G51" s="73">
        <f t="shared" si="1"/>
        <v>466.966666666667</v>
      </c>
    </row>
    <row r="52" customHeight="1" spans="1:11">
      <c r="A52" s="15">
        <v>43497</v>
      </c>
      <c r="B52" s="45">
        <v>469.2</v>
      </c>
      <c r="C52" s="71">
        <v>1526</v>
      </c>
      <c r="D52" s="18">
        <v>97.6</v>
      </c>
      <c r="E52" s="68">
        <f t="shared" si="0"/>
        <v>307470.511140236</v>
      </c>
      <c r="F52" s="19" t="s">
        <v>131</v>
      </c>
      <c r="G52" s="73">
        <f t="shared" si="1"/>
        <v>468.441666666667</v>
      </c>
    </row>
    <row r="53" customHeight="1" spans="1:11">
      <c r="A53" s="74">
        <v>43525</v>
      </c>
      <c r="B53" s="42">
        <v>459.5</v>
      </c>
      <c r="C53" s="67">
        <v>1495</v>
      </c>
      <c r="D53" s="13">
        <v>95.6</v>
      </c>
      <c r="E53" s="68">
        <f t="shared" si="0"/>
        <v>307357.859531773</v>
      </c>
      <c r="F53" s="14" t="s">
        <v>131</v>
      </c>
      <c r="G53" s="73">
        <f t="shared" si="1"/>
        <v>469.891666666667</v>
      </c>
    </row>
    <row r="54" customHeight="1" spans="1:11">
      <c r="A54" s="15">
        <v>43556</v>
      </c>
      <c r="B54" s="45">
        <v>464.3</v>
      </c>
      <c r="C54" s="71">
        <v>1510</v>
      </c>
      <c r="D54" s="18">
        <v>96.6</v>
      </c>
      <c r="E54" s="68">
        <f t="shared" si="0"/>
        <v>307483.443708609</v>
      </c>
      <c r="F54" s="19" t="s">
        <v>131</v>
      </c>
      <c r="G54" s="73">
        <f t="shared" si="1"/>
        <v>471.35</v>
      </c>
    </row>
    <row r="55" customHeight="1" spans="1:11">
      <c r="A55" s="10">
        <v>43586</v>
      </c>
      <c r="B55" s="42">
        <v>478.8</v>
      </c>
      <c r="C55" s="67">
        <v>1558</v>
      </c>
      <c r="D55" s="13">
        <v>99.6</v>
      </c>
      <c r="E55" s="68">
        <f t="shared" si="0"/>
        <v>307317.073170732</v>
      </c>
      <c r="F55" s="14" t="s">
        <v>131</v>
      </c>
      <c r="G55" s="73">
        <f t="shared" si="1"/>
        <v>472.85</v>
      </c>
      <c r="H55" s="75">
        <f>(B65-B53)/B53</f>
        <v>-0.0341675734494015</v>
      </c>
      <c r="J55" s="76">
        <f>SUM(B51:B62)</f>
        <v>5804</v>
      </c>
      <c r="K55" s="77">
        <f>(J56-J55)/J55</f>
        <v>-0.0341144038594073</v>
      </c>
    </row>
    <row r="56" customHeight="1" spans="1:11">
      <c r="A56" s="15">
        <v>43617</v>
      </c>
      <c r="B56" s="45">
        <v>488.5</v>
      </c>
      <c r="C56" s="71">
        <v>1589</v>
      </c>
      <c r="D56" s="18">
        <v>101.6</v>
      </c>
      <c r="E56" s="68">
        <f t="shared" si="0"/>
        <v>307426.054122089</v>
      </c>
      <c r="F56" s="19" t="s">
        <v>131</v>
      </c>
      <c r="G56" s="73">
        <f t="shared" si="1"/>
        <v>474.383333333333</v>
      </c>
      <c r="J56" s="78">
        <f>SUM(B63:B74)</f>
        <v>5606</v>
      </c>
      <c r="K56" s="79"/>
    </row>
    <row r="57" customHeight="1" spans="1:11">
      <c r="A57" s="10">
        <v>43647</v>
      </c>
      <c r="B57" s="42">
        <v>493.3</v>
      </c>
      <c r="C57" s="67">
        <v>1605</v>
      </c>
      <c r="D57" s="13">
        <v>102.6</v>
      </c>
      <c r="E57" s="68">
        <f t="shared" si="0"/>
        <v>307352.024922118</v>
      </c>
      <c r="F57" s="14" t="s">
        <v>131</v>
      </c>
      <c r="G57" s="73">
        <f t="shared" si="1"/>
        <v>475.933333333333</v>
      </c>
    </row>
    <row r="58" customHeight="1" spans="1:11">
      <c r="A58" s="15">
        <v>43678</v>
      </c>
      <c r="B58" s="45">
        <v>498.2</v>
      </c>
      <c r="C58" s="71">
        <v>1621</v>
      </c>
      <c r="D58" s="18">
        <v>103.6</v>
      </c>
      <c r="E58" s="68">
        <f t="shared" si="0"/>
        <v>307341.147439852</v>
      </c>
      <c r="F58" s="19" t="s">
        <v>131</v>
      </c>
      <c r="G58" s="73">
        <f t="shared" si="1"/>
        <v>477.5</v>
      </c>
    </row>
    <row r="59" customHeight="1" spans="1:11">
      <c r="A59" s="10">
        <v>43709</v>
      </c>
      <c r="B59" s="42">
        <v>493.3</v>
      </c>
      <c r="C59" s="67">
        <v>1605</v>
      </c>
      <c r="D59" s="13">
        <v>102.6</v>
      </c>
      <c r="E59" s="68">
        <f t="shared" si="0"/>
        <v>307352.024922118</v>
      </c>
      <c r="F59" s="14" t="s">
        <v>131</v>
      </c>
      <c r="G59" s="73">
        <f t="shared" si="1"/>
        <v>479.05</v>
      </c>
    </row>
    <row r="60" customHeight="1" spans="1:11">
      <c r="A60" s="15">
        <v>43739</v>
      </c>
      <c r="B60" s="45">
        <v>488.5</v>
      </c>
      <c r="C60" s="71">
        <v>1589</v>
      </c>
      <c r="D60" s="18">
        <v>101.6</v>
      </c>
      <c r="E60" s="68">
        <f t="shared" si="0"/>
        <v>307426.054122089</v>
      </c>
      <c r="F60" s="19" t="s">
        <v>131</v>
      </c>
      <c r="G60" s="73">
        <f t="shared" si="1"/>
        <v>480.583333333333</v>
      </c>
    </row>
    <row r="61" customHeight="1" spans="1:11">
      <c r="A61" s="10">
        <v>43770</v>
      </c>
      <c r="B61" s="42">
        <v>488.5</v>
      </c>
      <c r="C61" s="67">
        <v>1589</v>
      </c>
      <c r="D61" s="13">
        <v>101.6</v>
      </c>
      <c r="E61" s="68">
        <f t="shared" si="0"/>
        <v>307426.054122089</v>
      </c>
      <c r="F61" s="14" t="s">
        <v>131</v>
      </c>
      <c r="G61" s="73">
        <f t="shared" si="1"/>
        <v>482.116666666667</v>
      </c>
    </row>
    <row r="62" customHeight="1" spans="1:11">
      <c r="A62" s="15">
        <v>43800</v>
      </c>
      <c r="B62" s="45">
        <v>488.6</v>
      </c>
      <c r="C62" s="71">
        <v>1588</v>
      </c>
      <c r="D62" s="18">
        <v>101.4</v>
      </c>
      <c r="E62" s="68">
        <f t="shared" si="0"/>
        <v>307682.619647355</v>
      </c>
      <c r="F62" s="19" t="s">
        <v>131</v>
      </c>
      <c r="G62" s="73">
        <f t="shared" si="1"/>
        <v>483.666666666667</v>
      </c>
    </row>
    <row r="63" customHeight="1" spans="1:11">
      <c r="A63" s="10">
        <v>43831</v>
      </c>
      <c r="B63" s="42">
        <v>476.5</v>
      </c>
      <c r="C63" s="67">
        <v>1601</v>
      </c>
      <c r="D63" s="13">
        <v>99.4</v>
      </c>
      <c r="E63" s="68">
        <f t="shared" si="0"/>
        <v>297626.483447845</v>
      </c>
      <c r="F63" s="14" t="s">
        <v>131</v>
      </c>
      <c r="G63" s="73">
        <f t="shared" si="1"/>
        <v>482.266666666667</v>
      </c>
    </row>
    <row r="64" customHeight="1" spans="1:11">
      <c r="A64" s="15">
        <v>43862</v>
      </c>
      <c r="B64" s="45">
        <v>453.2</v>
      </c>
      <c r="C64" s="71">
        <v>1522</v>
      </c>
      <c r="D64" s="18">
        <v>94.5</v>
      </c>
      <c r="E64" s="68">
        <f t="shared" si="0"/>
        <v>297766.097240473</v>
      </c>
      <c r="F64" s="19" t="s">
        <v>131</v>
      </c>
      <c r="G64" s="73">
        <f t="shared" si="1"/>
        <v>480.933333333333</v>
      </c>
    </row>
    <row r="65" customHeight="1" spans="1:9">
      <c r="A65" s="74">
        <v>43891</v>
      </c>
      <c r="B65" s="42">
        <v>443.8</v>
      </c>
      <c r="C65" s="67">
        <v>1491</v>
      </c>
      <c r="D65" s="13">
        <v>92.5</v>
      </c>
      <c r="E65" s="68">
        <f t="shared" si="0"/>
        <v>297652.582159624</v>
      </c>
      <c r="F65" s="14" t="s">
        <v>131</v>
      </c>
      <c r="G65" s="73">
        <f t="shared" si="1"/>
        <v>479.625</v>
      </c>
    </row>
    <row r="66" customHeight="1" spans="1:9">
      <c r="A66" s="15">
        <v>43922</v>
      </c>
      <c r="B66" s="45">
        <v>448.5</v>
      </c>
      <c r="C66" s="71">
        <v>1506</v>
      </c>
      <c r="D66" s="18">
        <v>93.5</v>
      </c>
      <c r="E66" s="68">
        <f t="shared" si="0"/>
        <v>297808.764940239</v>
      </c>
      <c r="F66" s="19" t="s">
        <v>131</v>
      </c>
      <c r="G66" s="73">
        <f t="shared" si="1"/>
        <v>478.308333333333</v>
      </c>
    </row>
    <row r="67" customHeight="1" spans="1:9">
      <c r="A67" s="10">
        <v>43952</v>
      </c>
      <c r="B67" s="42">
        <v>462.5</v>
      </c>
      <c r="C67" s="67">
        <v>1553</v>
      </c>
      <c r="D67" s="13">
        <v>96.4</v>
      </c>
      <c r="E67" s="68">
        <f t="shared" si="0"/>
        <v>297810.688989053</v>
      </c>
      <c r="F67" s="14" t="s">
        <v>131</v>
      </c>
      <c r="G67" s="73">
        <f t="shared" si="1"/>
        <v>476.95</v>
      </c>
      <c r="I67" s="80"/>
    </row>
    <row r="68" customHeight="1" spans="1:9">
      <c r="A68" s="15">
        <v>43983</v>
      </c>
      <c r="B68" s="45">
        <v>471.8</v>
      </c>
      <c r="C68" s="71">
        <v>1585</v>
      </c>
      <c r="D68" s="18">
        <v>98.4</v>
      </c>
      <c r="E68" s="68">
        <f t="shared" ref="E68:E122" si="2">(B68*1000000)/C68</f>
        <v>297665.615141956</v>
      </c>
      <c r="F68" s="19" t="s">
        <v>131</v>
      </c>
      <c r="G68" s="73">
        <f t="shared" si="1"/>
        <v>475.558333333333</v>
      </c>
    </row>
    <row r="69" customHeight="1" spans="1:9">
      <c r="A69" s="10">
        <v>44013</v>
      </c>
      <c r="B69" s="42">
        <v>476.5</v>
      </c>
      <c r="C69" s="67">
        <v>1601</v>
      </c>
      <c r="D69" s="13">
        <v>99.4</v>
      </c>
      <c r="E69" s="68">
        <f t="shared" si="2"/>
        <v>297626.483447845</v>
      </c>
      <c r="F69" s="14" t="s">
        <v>131</v>
      </c>
      <c r="G69" s="73">
        <f t="shared" si="1"/>
        <v>474.158333333333</v>
      </c>
    </row>
    <row r="70" customHeight="1" spans="1:9">
      <c r="A70" s="15">
        <v>44044</v>
      </c>
      <c r="B70" s="45">
        <v>481.2</v>
      </c>
      <c r="C70" s="71">
        <v>1616</v>
      </c>
      <c r="D70" s="18">
        <v>100.3</v>
      </c>
      <c r="E70" s="68">
        <f t="shared" si="2"/>
        <v>297772.277227723</v>
      </c>
      <c r="F70" s="19" t="s">
        <v>131</v>
      </c>
      <c r="G70" s="73">
        <f t="shared" si="1"/>
        <v>472.741666666667</v>
      </c>
    </row>
    <row r="71" customHeight="1" spans="1:9">
      <c r="A71" s="10">
        <v>44075</v>
      </c>
      <c r="B71" s="42">
        <v>476.5</v>
      </c>
      <c r="C71" s="67">
        <v>1601</v>
      </c>
      <c r="D71" s="13">
        <v>99.4</v>
      </c>
      <c r="E71" s="68">
        <f t="shared" si="2"/>
        <v>297626.483447845</v>
      </c>
      <c r="F71" s="14" t="s">
        <v>131</v>
      </c>
      <c r="G71" s="73">
        <f t="shared" si="1"/>
        <v>471.341666666667</v>
      </c>
    </row>
    <row r="72" customHeight="1" spans="1:9">
      <c r="A72" s="15">
        <v>44105</v>
      </c>
      <c r="B72" s="45">
        <v>471.8</v>
      </c>
      <c r="C72" s="71">
        <v>1585</v>
      </c>
      <c r="D72" s="18">
        <v>98.4</v>
      </c>
      <c r="E72" s="68">
        <f t="shared" si="2"/>
        <v>297665.615141956</v>
      </c>
      <c r="F72" s="19" t="s">
        <v>131</v>
      </c>
      <c r="G72" s="73">
        <f t="shared" si="1"/>
        <v>469.95</v>
      </c>
    </row>
    <row r="73" customHeight="1" spans="1:9">
      <c r="A73" s="10">
        <v>44136</v>
      </c>
      <c r="B73" s="42">
        <v>471.8</v>
      </c>
      <c r="C73" s="67">
        <v>1585</v>
      </c>
      <c r="D73" s="13">
        <v>98.4</v>
      </c>
      <c r="E73" s="68">
        <f t="shared" si="2"/>
        <v>297665.615141956</v>
      </c>
      <c r="F73" s="14" t="s">
        <v>131</v>
      </c>
      <c r="G73" s="73">
        <f t="shared" si="1"/>
        <v>468.558333333333</v>
      </c>
    </row>
    <row r="74" customHeight="1" spans="1:9">
      <c r="A74" s="15">
        <v>44166</v>
      </c>
      <c r="B74" s="45">
        <v>471.9</v>
      </c>
      <c r="C74" s="71">
        <v>1584</v>
      </c>
      <c r="D74" s="18">
        <v>98.4</v>
      </c>
      <c r="E74" s="68">
        <f t="shared" si="2"/>
        <v>297916.666666667</v>
      </c>
      <c r="F74" s="19" t="s">
        <v>131</v>
      </c>
      <c r="G74" s="73">
        <f t="shared" si="1"/>
        <v>467.166666666667</v>
      </c>
    </row>
    <row r="75" customHeight="1" spans="1:9">
      <c r="A75" s="10">
        <v>44197</v>
      </c>
      <c r="B75" s="42">
        <v>530</v>
      </c>
      <c r="C75" s="67">
        <v>1697</v>
      </c>
      <c r="D75" s="13">
        <v>106.7</v>
      </c>
      <c r="E75" s="68">
        <f t="shared" si="2"/>
        <v>312315.851502652</v>
      </c>
      <c r="F75" s="14" t="s">
        <v>132</v>
      </c>
      <c r="G75" s="73">
        <f t="shared" si="1"/>
        <v>471.625</v>
      </c>
    </row>
    <row r="76" customHeight="1" spans="1:9">
      <c r="A76" s="15">
        <v>44228</v>
      </c>
      <c r="B76" s="45">
        <v>504.1</v>
      </c>
      <c r="C76" s="71">
        <v>1614</v>
      </c>
      <c r="D76" s="18">
        <v>101.5</v>
      </c>
      <c r="E76" s="68">
        <f t="shared" si="2"/>
        <v>312329.615861214</v>
      </c>
      <c r="F76" s="19" t="s">
        <v>132</v>
      </c>
      <c r="G76" s="73">
        <f t="shared" si="1"/>
        <v>475.866666666667</v>
      </c>
    </row>
    <row r="77" customHeight="1" spans="1:9">
      <c r="A77" s="81">
        <v>44256</v>
      </c>
      <c r="B77" s="42">
        <v>387.8</v>
      </c>
      <c r="C77" s="67">
        <v>1242</v>
      </c>
      <c r="D77" s="13">
        <v>78.1</v>
      </c>
      <c r="E77" s="68">
        <f t="shared" si="2"/>
        <v>312238.325281804</v>
      </c>
      <c r="F77" s="14" t="s">
        <v>132</v>
      </c>
      <c r="G77" s="73">
        <f t="shared" si="1"/>
        <v>471.2</v>
      </c>
    </row>
    <row r="78" customHeight="1" spans="1:9">
      <c r="A78" s="15">
        <v>44287</v>
      </c>
      <c r="B78" s="45">
        <v>562.3</v>
      </c>
      <c r="C78" s="71">
        <v>1800</v>
      </c>
      <c r="D78" s="18">
        <v>113.2</v>
      </c>
      <c r="E78" s="68">
        <f t="shared" si="2"/>
        <v>312388.888888889</v>
      </c>
      <c r="F78" s="19" t="s">
        <v>132</v>
      </c>
      <c r="G78" s="73">
        <f t="shared" si="1"/>
        <v>480.683333333333</v>
      </c>
    </row>
    <row r="79" customHeight="1" spans="1:9">
      <c r="A79" s="10">
        <v>44317</v>
      </c>
      <c r="B79" s="42">
        <v>555.8</v>
      </c>
      <c r="C79" s="67">
        <v>1780</v>
      </c>
      <c r="D79" s="13">
        <v>111.9</v>
      </c>
      <c r="E79" s="68">
        <f t="shared" si="2"/>
        <v>312247.191011236</v>
      </c>
      <c r="F79" s="14" t="s">
        <v>132</v>
      </c>
      <c r="G79" s="73">
        <f t="shared" si="1"/>
        <v>488.458333333333</v>
      </c>
    </row>
    <row r="80" customHeight="1" spans="1:9">
      <c r="A80" s="15">
        <v>44348</v>
      </c>
      <c r="B80" s="45">
        <v>536.5</v>
      </c>
      <c r="C80" s="71">
        <v>1718</v>
      </c>
      <c r="D80" s="18">
        <v>108</v>
      </c>
      <c r="E80" s="68">
        <f t="shared" si="2"/>
        <v>312281.722933644</v>
      </c>
      <c r="F80" s="19" t="s">
        <v>132</v>
      </c>
      <c r="G80" s="73">
        <f t="shared" ref="G80:G122" si="3">AVERAGE(B69:B80)</f>
        <v>493.85</v>
      </c>
    </row>
    <row r="81" customHeight="1" spans="1:10">
      <c r="A81" s="10">
        <v>44378</v>
      </c>
      <c r="B81" s="42">
        <v>549.4</v>
      </c>
      <c r="C81" s="67">
        <v>1759</v>
      </c>
      <c r="D81" s="13">
        <v>110.6</v>
      </c>
      <c r="E81" s="68">
        <f t="shared" si="2"/>
        <v>312336.554860716</v>
      </c>
      <c r="F81" s="14" t="s">
        <v>132</v>
      </c>
      <c r="G81" s="73">
        <f t="shared" si="3"/>
        <v>499.925</v>
      </c>
    </row>
    <row r="82" customHeight="1" spans="1:10">
      <c r="A82" s="15">
        <v>44409</v>
      </c>
      <c r="B82" s="45">
        <v>555.8</v>
      </c>
      <c r="C82" s="71">
        <v>1780</v>
      </c>
      <c r="D82" s="18">
        <v>111.9</v>
      </c>
      <c r="E82" s="68">
        <f t="shared" si="2"/>
        <v>312247.191011236</v>
      </c>
      <c r="F82" s="19" t="s">
        <v>132</v>
      </c>
      <c r="G82" s="73">
        <f t="shared" si="3"/>
        <v>506.141666666667</v>
      </c>
    </row>
    <row r="83" customHeight="1" spans="1:10">
      <c r="A83" s="10">
        <v>44440</v>
      </c>
      <c r="B83" s="42">
        <v>549.4</v>
      </c>
      <c r="C83" s="67">
        <v>1759</v>
      </c>
      <c r="D83" s="13">
        <v>110.6</v>
      </c>
      <c r="E83" s="68">
        <f t="shared" si="2"/>
        <v>312336.554860716</v>
      </c>
      <c r="F83" s="14" t="s">
        <v>132</v>
      </c>
      <c r="G83" s="73">
        <f t="shared" si="3"/>
        <v>512.216666666667</v>
      </c>
    </row>
    <row r="84" customHeight="1" spans="1:10">
      <c r="A84" s="15">
        <v>44470</v>
      </c>
      <c r="B84" s="45">
        <v>542.9</v>
      </c>
      <c r="C84" s="71">
        <v>1738</v>
      </c>
      <c r="D84" s="18">
        <v>109.3</v>
      </c>
      <c r="E84" s="68">
        <f t="shared" si="2"/>
        <v>312370.540851553</v>
      </c>
      <c r="F84" s="19" t="s">
        <v>132</v>
      </c>
      <c r="G84" s="73">
        <f t="shared" si="3"/>
        <v>518.141666666667</v>
      </c>
    </row>
    <row r="85" customHeight="1" spans="1:10">
      <c r="A85" s="10">
        <v>44501</v>
      </c>
      <c r="B85" s="42">
        <v>536.5</v>
      </c>
      <c r="C85" s="67">
        <v>1718</v>
      </c>
      <c r="D85" s="13">
        <v>108</v>
      </c>
      <c r="E85" s="68">
        <f t="shared" si="2"/>
        <v>312281.722933644</v>
      </c>
      <c r="F85" s="14" t="s">
        <v>132</v>
      </c>
      <c r="G85" s="73">
        <f t="shared" si="3"/>
        <v>523.533333333333</v>
      </c>
    </row>
    <row r="86" customHeight="1" spans="1:10">
      <c r="A86" s="15">
        <v>44531</v>
      </c>
      <c r="B86" s="45">
        <v>523.5</v>
      </c>
      <c r="C86" s="71">
        <v>2089</v>
      </c>
      <c r="D86" s="18">
        <v>105.2</v>
      </c>
      <c r="E86" s="68">
        <f t="shared" si="2"/>
        <v>250598.372426999</v>
      </c>
      <c r="F86" s="19" t="s">
        <v>132</v>
      </c>
      <c r="G86" s="73">
        <f t="shared" si="3"/>
        <v>527.833333333333</v>
      </c>
    </row>
    <row r="87" customHeight="1" spans="1:10">
      <c r="A87" s="10">
        <v>44562</v>
      </c>
      <c r="B87" s="42">
        <v>674.4</v>
      </c>
      <c r="C87" s="67">
        <v>2027</v>
      </c>
      <c r="D87" s="13">
        <v>119.9</v>
      </c>
      <c r="E87" s="68">
        <f t="shared" si="2"/>
        <v>332708.436112482</v>
      </c>
      <c r="F87" s="14" t="s">
        <v>132</v>
      </c>
      <c r="G87" s="73">
        <f t="shared" si="3"/>
        <v>539.866666666667</v>
      </c>
    </row>
    <row r="88" customHeight="1" spans="1:10">
      <c r="A88" s="15">
        <v>44593</v>
      </c>
      <c r="B88" s="45">
        <v>641.3</v>
      </c>
      <c r="C88" s="71">
        <v>1928</v>
      </c>
      <c r="D88" s="18">
        <v>114</v>
      </c>
      <c r="E88" s="68">
        <f t="shared" si="2"/>
        <v>332624.481327801</v>
      </c>
      <c r="F88" s="19" t="s">
        <v>132</v>
      </c>
      <c r="G88" s="73">
        <f t="shared" si="3"/>
        <v>551.3</v>
      </c>
    </row>
    <row r="89" customHeight="1" spans="1:10">
      <c r="A89" s="10">
        <v>44621</v>
      </c>
      <c r="B89" s="42">
        <v>628.1</v>
      </c>
      <c r="C89" s="67">
        <v>1888</v>
      </c>
      <c r="D89" s="13">
        <v>111.6</v>
      </c>
      <c r="E89" s="68">
        <f t="shared" si="2"/>
        <v>332680.084745763</v>
      </c>
      <c r="F89" s="14" t="s">
        <v>132</v>
      </c>
      <c r="G89" s="73">
        <f t="shared" si="3"/>
        <v>571.325</v>
      </c>
    </row>
    <row r="90" customHeight="1" spans="1:10">
      <c r="A90" s="15">
        <v>44652</v>
      </c>
      <c r="B90" s="45">
        <v>634.7</v>
      </c>
      <c r="C90" s="71">
        <v>1908</v>
      </c>
      <c r="D90" s="18">
        <v>112.8</v>
      </c>
      <c r="E90" s="68">
        <f t="shared" si="2"/>
        <v>332651.991614256</v>
      </c>
      <c r="F90" s="19" t="s">
        <v>132</v>
      </c>
      <c r="G90" s="73">
        <f t="shared" si="3"/>
        <v>577.358333333333</v>
      </c>
    </row>
    <row r="91" customHeight="1" spans="1:10">
      <c r="A91" s="10">
        <v>44682</v>
      </c>
      <c r="B91" s="42">
        <v>654.6</v>
      </c>
      <c r="C91" s="67">
        <v>1968</v>
      </c>
      <c r="D91" s="13">
        <v>116.3</v>
      </c>
      <c r="E91" s="68">
        <f t="shared" si="2"/>
        <v>332621.951219512</v>
      </c>
      <c r="F91" s="14" t="s">
        <v>132</v>
      </c>
      <c r="G91" s="73">
        <f t="shared" si="3"/>
        <v>585.591666666667</v>
      </c>
    </row>
    <row r="92" customHeight="1" spans="1:10">
      <c r="A92" s="15">
        <v>44713</v>
      </c>
      <c r="B92" s="45">
        <v>667.8</v>
      </c>
      <c r="C92" s="71">
        <v>2007</v>
      </c>
      <c r="D92" s="18">
        <v>118.7</v>
      </c>
      <c r="E92" s="68">
        <f t="shared" si="2"/>
        <v>332735.426008969</v>
      </c>
      <c r="F92" s="19" t="s">
        <v>132</v>
      </c>
      <c r="G92" s="73">
        <f t="shared" si="3"/>
        <v>596.533333333333</v>
      </c>
    </row>
    <row r="93" customHeight="1" spans="1:10">
      <c r="A93" s="10">
        <v>44743</v>
      </c>
      <c r="B93" s="42">
        <v>674.4</v>
      </c>
      <c r="C93" s="67">
        <v>2027</v>
      </c>
      <c r="D93" s="13">
        <v>119.9</v>
      </c>
      <c r="E93" s="68">
        <f t="shared" si="2"/>
        <v>332708.436112482</v>
      </c>
      <c r="F93" s="14" t="s">
        <v>132</v>
      </c>
      <c r="G93" s="73">
        <f t="shared" si="3"/>
        <v>606.95</v>
      </c>
    </row>
    <row r="94" customHeight="1" spans="1:10">
      <c r="A94" s="15">
        <v>44774</v>
      </c>
      <c r="B94" s="45">
        <v>681</v>
      </c>
      <c r="C94" s="71">
        <v>2047</v>
      </c>
      <c r="D94" s="18">
        <v>121</v>
      </c>
      <c r="E94" s="68">
        <f t="shared" si="2"/>
        <v>332681.973619932</v>
      </c>
      <c r="F94" s="19" t="s">
        <v>132</v>
      </c>
      <c r="G94" s="73">
        <f t="shared" si="3"/>
        <v>617.383333333333</v>
      </c>
      <c r="J94" s="62">
        <f>B106*12</f>
        <v>10557.6</v>
      </c>
    </row>
    <row r="95" customHeight="1" spans="1:10">
      <c r="A95" s="10">
        <v>44805</v>
      </c>
      <c r="B95" s="42">
        <v>674.4</v>
      </c>
      <c r="C95" s="67">
        <v>2027</v>
      </c>
      <c r="D95" s="13">
        <v>119.9</v>
      </c>
      <c r="E95" s="68">
        <f t="shared" si="2"/>
        <v>332708.436112482</v>
      </c>
      <c r="F95" s="14" t="s">
        <v>132</v>
      </c>
      <c r="G95" s="73">
        <f t="shared" si="3"/>
        <v>627.8</v>
      </c>
    </row>
    <row r="96" customHeight="1" spans="1:10">
      <c r="A96" s="15">
        <v>44835</v>
      </c>
      <c r="B96" s="45">
        <v>667.8</v>
      </c>
      <c r="C96" s="71">
        <v>2007</v>
      </c>
      <c r="D96" s="18">
        <v>118.7</v>
      </c>
      <c r="E96" s="68">
        <f t="shared" si="2"/>
        <v>332735.426008969</v>
      </c>
      <c r="F96" s="19" t="s">
        <v>132</v>
      </c>
      <c r="G96" s="73">
        <f t="shared" si="3"/>
        <v>638.208333333333</v>
      </c>
    </row>
    <row r="97" customHeight="1" spans="1:11">
      <c r="A97" s="10">
        <v>44866</v>
      </c>
      <c r="B97" s="42">
        <v>667.8</v>
      </c>
      <c r="C97" s="67">
        <v>2007</v>
      </c>
      <c r="D97" s="13">
        <v>118.7</v>
      </c>
      <c r="E97" s="68">
        <f t="shared" si="2"/>
        <v>332735.426008969</v>
      </c>
      <c r="F97" s="14" t="s">
        <v>132</v>
      </c>
      <c r="G97" s="73">
        <f t="shared" si="3"/>
        <v>649.15</v>
      </c>
    </row>
    <row r="98" customHeight="1" spans="1:11">
      <c r="A98" s="15">
        <v>44896</v>
      </c>
      <c r="B98" s="45">
        <v>667.7</v>
      </c>
      <c r="C98" s="71">
        <v>2010</v>
      </c>
      <c r="D98" s="18">
        <v>118.5</v>
      </c>
      <c r="E98" s="68">
        <f t="shared" si="2"/>
        <v>332189.054726368</v>
      </c>
      <c r="F98" s="19" t="s">
        <v>132</v>
      </c>
      <c r="G98" s="73">
        <f t="shared" si="3"/>
        <v>661.166666666667</v>
      </c>
    </row>
    <row r="99" customHeight="1" spans="1:11">
      <c r="A99" s="82">
        <v>44927</v>
      </c>
      <c r="B99" s="42">
        <v>871.2</v>
      </c>
      <c r="C99" s="67">
        <v>2247</v>
      </c>
      <c r="D99" s="13">
        <v>133.3</v>
      </c>
      <c r="E99" s="68">
        <f t="shared" si="2"/>
        <v>387716.955941255</v>
      </c>
      <c r="F99" s="14" t="s">
        <v>132</v>
      </c>
      <c r="G99" s="73">
        <f t="shared" si="3"/>
        <v>677.566666666667</v>
      </c>
    </row>
    <row r="100" customHeight="1" spans="1:11">
      <c r="A100" s="15">
        <v>44958</v>
      </c>
      <c r="B100" s="45">
        <v>828.5</v>
      </c>
      <c r="C100" s="71">
        <v>2137</v>
      </c>
      <c r="D100" s="18">
        <v>126.7</v>
      </c>
      <c r="E100" s="68">
        <f t="shared" si="2"/>
        <v>387693.027608797</v>
      </c>
      <c r="F100" s="19" t="s">
        <v>132</v>
      </c>
      <c r="G100" s="73">
        <f t="shared" si="3"/>
        <v>693.166666666667</v>
      </c>
    </row>
    <row r="101" customHeight="1" spans="1:11">
      <c r="A101" s="10">
        <v>44986</v>
      </c>
      <c r="B101" s="42">
        <v>811.5</v>
      </c>
      <c r="C101" s="67">
        <v>2093</v>
      </c>
      <c r="D101" s="13">
        <v>124.1</v>
      </c>
      <c r="E101" s="68">
        <f t="shared" si="2"/>
        <v>387720.974677496</v>
      </c>
      <c r="F101" s="14" t="s">
        <v>132</v>
      </c>
      <c r="G101" s="73">
        <f t="shared" si="3"/>
        <v>708.45</v>
      </c>
    </row>
    <row r="102" customHeight="1" spans="1:11">
      <c r="A102" s="15">
        <v>45017</v>
      </c>
      <c r="B102" s="45">
        <v>820</v>
      </c>
      <c r="C102" s="71">
        <v>2115</v>
      </c>
      <c r="D102" s="18">
        <v>125.4</v>
      </c>
      <c r="E102" s="68">
        <f t="shared" si="2"/>
        <v>387706.855791962</v>
      </c>
      <c r="F102" s="19" t="s">
        <v>132</v>
      </c>
      <c r="G102" s="73">
        <f t="shared" si="3"/>
        <v>723.891666666667</v>
      </c>
    </row>
    <row r="103" customHeight="1" spans="1:11">
      <c r="A103" s="10">
        <v>45047</v>
      </c>
      <c r="B103" s="42">
        <v>845.6</v>
      </c>
      <c r="C103" s="67">
        <v>2181</v>
      </c>
      <c r="D103" s="13">
        <v>129.4</v>
      </c>
      <c r="E103" s="68">
        <f t="shared" si="2"/>
        <v>387712.058688675</v>
      </c>
      <c r="F103" s="14" t="s">
        <v>132</v>
      </c>
      <c r="G103" s="73">
        <f t="shared" si="3"/>
        <v>739.808333333333</v>
      </c>
    </row>
    <row r="104" customHeight="1" spans="1:11">
      <c r="A104" s="15">
        <v>45078</v>
      </c>
      <c r="B104" s="45">
        <v>862.7</v>
      </c>
      <c r="C104" s="71">
        <v>2225</v>
      </c>
      <c r="D104" s="18">
        <v>132</v>
      </c>
      <c r="E104" s="68">
        <f t="shared" si="2"/>
        <v>387730.337078652</v>
      </c>
      <c r="F104" s="19" t="s">
        <v>132</v>
      </c>
      <c r="G104" s="73">
        <f t="shared" si="3"/>
        <v>756.05</v>
      </c>
    </row>
    <row r="105" customHeight="1" spans="1:11">
      <c r="A105" s="10">
        <v>45108</v>
      </c>
      <c r="B105" s="42">
        <v>871.2</v>
      </c>
      <c r="C105" s="67">
        <v>2247</v>
      </c>
      <c r="D105" s="13">
        <v>133.3</v>
      </c>
      <c r="E105" s="68">
        <f t="shared" si="2"/>
        <v>387716.955941255</v>
      </c>
      <c r="F105" s="14" t="s">
        <v>132</v>
      </c>
      <c r="G105" s="73">
        <f t="shared" si="3"/>
        <v>772.45</v>
      </c>
      <c r="H105" s="83">
        <f>(B111-B99)/B99</f>
        <v>-0.587695133149679</v>
      </c>
      <c r="J105" s="76">
        <f>SUM(B99:B110)</f>
        <v>10250</v>
      </c>
      <c r="K105" s="84">
        <f>(J106-J105)/J105</f>
        <v>-0.610634146341463</v>
      </c>
    </row>
    <row r="106" customHeight="1" spans="1:11">
      <c r="A106" s="15">
        <v>45139</v>
      </c>
      <c r="B106" s="58">
        <v>879.8</v>
      </c>
      <c r="C106" s="85">
        <v>2269</v>
      </c>
      <c r="D106" s="86">
        <v>134.6</v>
      </c>
      <c r="E106" s="68">
        <f t="shared" si="2"/>
        <v>387747.90656677</v>
      </c>
      <c r="F106" s="19" t="s">
        <v>132</v>
      </c>
      <c r="G106" s="73">
        <f t="shared" si="3"/>
        <v>789.016666666667</v>
      </c>
      <c r="J106" s="78">
        <f>SUM(B111:B122)</f>
        <v>3991</v>
      </c>
      <c r="K106" s="79"/>
    </row>
    <row r="107" customHeight="1" spans="1:11">
      <c r="A107" s="10">
        <v>45170</v>
      </c>
      <c r="B107" s="42">
        <v>871.2</v>
      </c>
      <c r="C107" s="67">
        <v>2247</v>
      </c>
      <c r="D107" s="13">
        <v>133.3</v>
      </c>
      <c r="E107" s="68">
        <f t="shared" si="2"/>
        <v>387716.955941255</v>
      </c>
      <c r="F107" s="14" t="s">
        <v>132</v>
      </c>
      <c r="G107" s="73">
        <f t="shared" si="3"/>
        <v>805.416666666667</v>
      </c>
    </row>
    <row r="108" customHeight="1" spans="1:11">
      <c r="A108" s="15">
        <v>45200</v>
      </c>
      <c r="B108" s="45">
        <v>862.7</v>
      </c>
      <c r="C108" s="71">
        <v>2225</v>
      </c>
      <c r="D108" s="18">
        <v>132</v>
      </c>
      <c r="E108" s="68">
        <f t="shared" si="2"/>
        <v>387730.337078652</v>
      </c>
      <c r="F108" s="19" t="s">
        <v>132</v>
      </c>
      <c r="G108" s="73">
        <f t="shared" si="3"/>
        <v>821.658333333333</v>
      </c>
    </row>
    <row r="109" customHeight="1" spans="1:11">
      <c r="A109" s="10">
        <v>45231</v>
      </c>
      <c r="B109" s="42">
        <v>862.7</v>
      </c>
      <c r="C109" s="67">
        <v>2225</v>
      </c>
      <c r="D109" s="13">
        <v>132</v>
      </c>
      <c r="E109" s="68">
        <f t="shared" si="2"/>
        <v>387730.337078652</v>
      </c>
      <c r="F109" s="14" t="s">
        <v>132</v>
      </c>
      <c r="G109" s="73">
        <f t="shared" si="3"/>
        <v>837.9</v>
      </c>
    </row>
    <row r="110" customHeight="1" spans="1:11">
      <c r="A110" s="15">
        <v>45261</v>
      </c>
      <c r="B110" s="45">
        <v>862.9</v>
      </c>
      <c r="C110" s="71">
        <v>2223</v>
      </c>
      <c r="D110" s="18">
        <v>131.9</v>
      </c>
      <c r="E110" s="87">
        <f t="shared" si="2"/>
        <v>388169.14080072</v>
      </c>
      <c r="F110" s="19" t="s">
        <v>132</v>
      </c>
      <c r="G110" s="73">
        <f t="shared" si="3"/>
        <v>854.166666666667</v>
      </c>
    </row>
    <row r="111" customHeight="1" spans="1:11">
      <c r="A111" s="82">
        <v>45292</v>
      </c>
      <c r="B111" s="42">
        <v>359.2</v>
      </c>
      <c r="C111" s="67">
        <v>1189</v>
      </c>
      <c r="D111" s="13">
        <v>47.2</v>
      </c>
      <c r="E111" s="68">
        <f t="shared" si="2"/>
        <v>302102.607232969</v>
      </c>
      <c r="F111" s="14" t="s">
        <v>132</v>
      </c>
      <c r="G111" s="73">
        <f t="shared" si="3"/>
        <v>811.5</v>
      </c>
    </row>
    <row r="112" customHeight="1" spans="1:11">
      <c r="A112" s="15">
        <v>45323</v>
      </c>
      <c r="B112" s="45">
        <v>339.2</v>
      </c>
      <c r="C112" s="71">
        <v>1123</v>
      </c>
      <c r="D112" s="18">
        <v>44.6</v>
      </c>
      <c r="E112" s="68">
        <f t="shared" si="2"/>
        <v>302048.085485307</v>
      </c>
      <c r="F112" s="19" t="s">
        <v>132</v>
      </c>
      <c r="G112" s="73">
        <f t="shared" si="3"/>
        <v>770.725</v>
      </c>
    </row>
    <row r="113" customHeight="1" spans="1:7">
      <c r="A113" s="10">
        <v>45352</v>
      </c>
      <c r="B113" s="42">
        <v>311.3</v>
      </c>
      <c r="C113" s="67">
        <v>1031</v>
      </c>
      <c r="D113" s="13">
        <v>41</v>
      </c>
      <c r="E113" s="68">
        <f t="shared" si="2"/>
        <v>301939.864209505</v>
      </c>
      <c r="F113" s="14" t="s">
        <v>132</v>
      </c>
      <c r="G113" s="73">
        <f t="shared" si="3"/>
        <v>729.041666666667</v>
      </c>
    </row>
    <row r="114" customHeight="1" spans="1:7">
      <c r="A114" s="15">
        <v>45383</v>
      </c>
      <c r="B114" s="45">
        <v>287.4</v>
      </c>
      <c r="C114" s="71">
        <v>951</v>
      </c>
      <c r="D114" s="18">
        <v>37.8</v>
      </c>
      <c r="E114" s="68">
        <f t="shared" si="2"/>
        <v>302208.201892744</v>
      </c>
      <c r="F114" s="19" t="s">
        <v>132</v>
      </c>
      <c r="G114" s="73">
        <f t="shared" si="3"/>
        <v>684.658333333333</v>
      </c>
    </row>
    <row r="115" customHeight="1" spans="1:7">
      <c r="A115" s="10">
        <v>45413</v>
      </c>
      <c r="B115" s="42">
        <v>271.4</v>
      </c>
      <c r="C115" s="67">
        <v>898</v>
      </c>
      <c r="D115" s="13">
        <v>35.7</v>
      </c>
      <c r="E115" s="68">
        <f t="shared" si="2"/>
        <v>302227.171492205</v>
      </c>
      <c r="F115" s="14" t="s">
        <v>132</v>
      </c>
      <c r="G115" s="73">
        <f t="shared" si="3"/>
        <v>636.808333333333</v>
      </c>
    </row>
    <row r="116" customHeight="1" spans="1:7">
      <c r="A116" s="15">
        <v>45444</v>
      </c>
      <c r="B116" s="88">
        <v>259.4</v>
      </c>
      <c r="C116" s="71">
        <v>859</v>
      </c>
      <c r="D116" s="18">
        <v>34.1</v>
      </c>
      <c r="E116" s="68">
        <f t="shared" si="2"/>
        <v>301979.04540163</v>
      </c>
      <c r="F116" s="19" t="s">
        <v>132</v>
      </c>
      <c r="G116" s="73">
        <f t="shared" si="3"/>
        <v>586.533333333333</v>
      </c>
    </row>
    <row r="117" customHeight="1" spans="1:7">
      <c r="A117" s="10">
        <v>45474</v>
      </c>
      <c r="B117" s="42">
        <v>319.3</v>
      </c>
      <c r="C117" s="67">
        <v>1057</v>
      </c>
      <c r="D117" s="13">
        <v>42</v>
      </c>
      <c r="E117" s="68">
        <f t="shared" si="2"/>
        <v>302081.362346263</v>
      </c>
      <c r="F117" s="14" t="s">
        <v>132</v>
      </c>
      <c r="G117" s="73">
        <f t="shared" si="3"/>
        <v>540.541666666667</v>
      </c>
    </row>
    <row r="118" customHeight="1" spans="1:7">
      <c r="A118" s="15">
        <v>45505</v>
      </c>
      <c r="B118" s="45">
        <v>351.2</v>
      </c>
      <c r="C118" s="71">
        <v>1163</v>
      </c>
      <c r="D118" s="18">
        <v>46.2</v>
      </c>
      <c r="E118" s="68">
        <f t="shared" si="2"/>
        <v>301977.644024076</v>
      </c>
      <c r="F118" s="19" t="s">
        <v>132</v>
      </c>
      <c r="G118" s="73">
        <f t="shared" si="3"/>
        <v>496.491666666667</v>
      </c>
    </row>
    <row r="119" customHeight="1" spans="1:7">
      <c r="A119" s="10">
        <v>45536</v>
      </c>
      <c r="B119" s="42">
        <v>367.2</v>
      </c>
      <c r="C119" s="67">
        <v>1216</v>
      </c>
      <c r="D119" s="13">
        <v>48.3</v>
      </c>
      <c r="E119" s="68">
        <f t="shared" si="2"/>
        <v>301973.684210526</v>
      </c>
      <c r="F119" s="14" t="s">
        <v>132</v>
      </c>
      <c r="G119" s="73">
        <f t="shared" si="3"/>
        <v>454.491666666667</v>
      </c>
    </row>
    <row r="120" customHeight="1" spans="1:7">
      <c r="A120" s="15">
        <v>45566</v>
      </c>
      <c r="B120" s="45">
        <v>379.1</v>
      </c>
      <c r="C120" s="71">
        <v>1255</v>
      </c>
      <c r="D120" s="18">
        <v>49.9</v>
      </c>
      <c r="E120" s="68">
        <f t="shared" si="2"/>
        <v>302071.71314741</v>
      </c>
      <c r="F120" s="19" t="s">
        <v>132</v>
      </c>
      <c r="G120" s="73">
        <f t="shared" si="3"/>
        <v>414.191666666667</v>
      </c>
    </row>
    <row r="121" customHeight="1" spans="1:7">
      <c r="A121" s="10">
        <v>45597</v>
      </c>
      <c r="B121" s="42">
        <v>371.2</v>
      </c>
      <c r="C121" s="67">
        <v>1229</v>
      </c>
      <c r="D121" s="13">
        <v>48.8</v>
      </c>
      <c r="E121" s="68">
        <f t="shared" si="2"/>
        <v>302034.174125305</v>
      </c>
      <c r="F121" s="14" t="s">
        <v>132</v>
      </c>
      <c r="G121" s="73">
        <f t="shared" si="3"/>
        <v>373.233333333333</v>
      </c>
    </row>
    <row r="122" customHeight="1" spans="1:7">
      <c r="A122" s="22">
        <v>45627</v>
      </c>
      <c r="B122" s="48">
        <v>375.1</v>
      </c>
      <c r="C122" s="89">
        <v>1242</v>
      </c>
      <c r="D122" s="25">
        <v>49.4</v>
      </c>
      <c r="E122" s="90">
        <f t="shared" si="2"/>
        <v>302012.882447665</v>
      </c>
      <c r="F122" s="26" t="s">
        <v>132</v>
      </c>
      <c r="G122" s="73">
        <f t="shared" si="3"/>
        <v>332.583333333333</v>
      </c>
    </row>
    <row r="123" spans="1:7">
      <c r="A123" t="s">
        <v>133</v>
      </c>
      <c r="B123" s="61">
        <f>AVERAGE(B3:B122)</f>
        <v>506.683333333333</v>
      </c>
      <c r="C123" s="61">
        <f t="shared" ref="C123:E123" si="4">AVERAGE(C3:C122)</f>
        <v>1598.60833333333</v>
      </c>
      <c r="D123" s="61">
        <f t="shared" si="4"/>
        <v>92.725</v>
      </c>
      <c r="E123" s="61">
        <f t="shared" si="4"/>
        <v>312870.118395143</v>
      </c>
    </row>
    <row r="124" spans="1:7">
      <c r="A124" s="60" t="s">
        <v>134</v>
      </c>
      <c r="B124" s="91">
        <f>MAX(B3:B122)</f>
        <v>879.8</v>
      </c>
      <c r="C124" s="91">
        <f t="shared" ref="C124:E124" si="5">MAX(C3:C122)</f>
        <v>2269</v>
      </c>
      <c r="D124" s="91">
        <f t="shared" si="5"/>
        <v>134.6</v>
      </c>
      <c r="E124" s="91">
        <f t="shared" si="5"/>
        <v>388169.14080072</v>
      </c>
      <c r="F124" s="60"/>
    </row>
    <row r="125" spans="1:7">
      <c r="A125" t="s">
        <v>135</v>
      </c>
      <c r="B125" s="61">
        <f>MIN(B3:B122)</f>
        <v>259.4</v>
      </c>
      <c r="C125" s="61">
        <f t="shared" ref="C125:E125" si="6">MIN(C3:C122)</f>
        <v>859</v>
      </c>
      <c r="D125" s="61">
        <f t="shared" si="6"/>
        <v>34.1</v>
      </c>
      <c r="E125" s="61">
        <f t="shared" si="6"/>
        <v>250598.372426999</v>
      </c>
    </row>
    <row r="126" ht="15.75"/>
    <row r="127" ht="15.75" spans="1:7">
      <c r="B127" s="92">
        <f>SUM(B2:B122)</f>
        <v>60802</v>
      </c>
    </row>
    <row r="128" ht="15.75"/>
    <row r="129" ht="15.75" spans="2:2">
      <c r="B129" s="62">
        <f>B127/1000</f>
        <v>60.802</v>
      </c>
    </row>
  </sheetData>
  <mergeCells count="1">
    <mergeCell ref="A1:F1"/>
  </mergeCells>
  <dataValidations count="1">
    <dataValidation type="whole" operator="greaterThan" allowBlank="1" showInputMessage="1" showErrorMessage="1" errorTitle="more than ziro" error="thare is a ship" promptTitle="more than ziro" prompt="these is a ship" sqref="C3:C122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G14:G122" formulaRange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9"/>
  <sheetViews>
    <sheetView showGridLines="0" workbookViewId="0">
      <pane ySplit="2" topLeftCell="A3" activePane="bottomLeft" state="frozen"/>
      <selection/>
      <selection pane="bottomLeft" activeCell="H9" sqref="H9"/>
    </sheetView>
  </sheetViews>
  <sheetFormatPr defaultColWidth="8.71428571428571" defaultRowHeight="15" outlineLevelCol="7"/>
  <cols>
    <col min="1" max="1" width="12" customWidth="1"/>
    <col min="2" max="3" width="16" customWidth="1"/>
    <col min="4" max="4" width="15.8571428571429" customWidth="1"/>
    <col min="5" max="5" width="20" customWidth="1"/>
    <col min="6" max="6" width="22" customWidth="1"/>
    <col min="7" max="7" width="17.8571428571429" customWidth="1"/>
    <col min="8" max="8" width="9.28571428571429" customWidth="1"/>
  </cols>
  <sheetData>
    <row r="1" ht="27.75" customHeight="1" spans="1:8">
      <c r="A1" s="1" t="s">
        <v>136</v>
      </c>
      <c r="B1" s="1"/>
      <c r="C1" s="1"/>
      <c r="D1" s="1"/>
      <c r="E1" s="1"/>
      <c r="F1" s="1"/>
    </row>
    <row r="2" ht="36" customHeight="1" spans="1:8">
      <c r="A2" s="7" t="s">
        <v>16</v>
      </c>
      <c r="B2" s="8" t="s">
        <v>44</v>
      </c>
      <c r="C2" s="8" t="s">
        <v>45</v>
      </c>
      <c r="D2" s="8" t="s">
        <v>137</v>
      </c>
      <c r="E2" s="8" t="s">
        <v>138</v>
      </c>
      <c r="F2" s="9" t="s">
        <v>129</v>
      </c>
    </row>
    <row r="3" customHeight="1" spans="1:8">
      <c r="A3" s="10">
        <v>42005</v>
      </c>
      <c r="B3" s="42">
        <v>1555.5</v>
      </c>
      <c r="C3" s="42">
        <v>5584.5</v>
      </c>
      <c r="D3" s="43">
        <f>B3-C3</f>
        <v>-4029</v>
      </c>
      <c r="E3" s="44">
        <f>B3/C3</f>
        <v>0.278538812785388</v>
      </c>
      <c r="F3" s="14" t="s">
        <v>131</v>
      </c>
    </row>
    <row r="4" customHeight="1" spans="1:8">
      <c r="A4" s="15">
        <v>42036</v>
      </c>
      <c r="B4" s="45">
        <v>1479.2</v>
      </c>
      <c r="C4" s="45">
        <v>5310.8</v>
      </c>
      <c r="D4" s="43">
        <f t="shared" ref="D4:D67" si="0">B4-C4</f>
        <v>-3831.6</v>
      </c>
      <c r="E4" s="44">
        <f t="shared" ref="E4:E67" si="1">B4/C4</f>
        <v>0.278526775627024</v>
      </c>
      <c r="F4" s="19" t="s">
        <v>131</v>
      </c>
    </row>
    <row r="5" customHeight="1" spans="1:8">
      <c r="A5" s="10">
        <v>42064</v>
      </c>
      <c r="B5" s="42">
        <v>1448.8</v>
      </c>
      <c r="C5" s="42">
        <v>5201.2</v>
      </c>
      <c r="D5" s="43">
        <f t="shared" si="0"/>
        <v>-3752.4</v>
      </c>
      <c r="E5" s="44">
        <f t="shared" si="1"/>
        <v>0.278551103591479</v>
      </c>
      <c r="F5" s="14" t="s">
        <v>131</v>
      </c>
    </row>
    <row r="6" customHeight="1" spans="1:8">
      <c r="A6" s="15">
        <v>42095</v>
      </c>
      <c r="B6" s="45">
        <v>1464</v>
      </c>
      <c r="C6" s="45">
        <v>5256</v>
      </c>
      <c r="D6" s="43">
        <f t="shared" si="0"/>
        <v>-3792</v>
      </c>
      <c r="E6" s="44">
        <f t="shared" si="1"/>
        <v>0.278538812785388</v>
      </c>
      <c r="F6" s="19" t="s">
        <v>131</v>
      </c>
    </row>
    <row r="7" customHeight="1" spans="1:8">
      <c r="A7" s="10">
        <v>42125</v>
      </c>
      <c r="B7" s="42">
        <v>1509.8</v>
      </c>
      <c r="C7" s="42">
        <v>5420.2</v>
      </c>
      <c r="D7" s="43">
        <f t="shared" si="0"/>
        <v>-3910.4</v>
      </c>
      <c r="E7" s="44">
        <f t="shared" si="1"/>
        <v>0.278550606988672</v>
      </c>
      <c r="F7" s="14" t="s">
        <v>131</v>
      </c>
    </row>
    <row r="8" customHeight="1" spans="1:8">
      <c r="A8" s="15">
        <v>42156</v>
      </c>
      <c r="B8" s="45">
        <v>1540.2</v>
      </c>
      <c r="C8" s="45">
        <v>5529.8</v>
      </c>
      <c r="D8" s="43">
        <f t="shared" si="0"/>
        <v>-3989.6</v>
      </c>
      <c r="E8" s="44">
        <f t="shared" si="1"/>
        <v>0.278527252341857</v>
      </c>
      <c r="F8" s="19" t="s">
        <v>131</v>
      </c>
    </row>
    <row r="9" customHeight="1" spans="1:8">
      <c r="A9" s="10">
        <v>42186</v>
      </c>
      <c r="B9" s="42">
        <v>1555.5</v>
      </c>
      <c r="C9" s="42">
        <v>5584.5</v>
      </c>
      <c r="D9" s="43">
        <f t="shared" si="0"/>
        <v>-4029</v>
      </c>
      <c r="E9" s="44">
        <f t="shared" si="1"/>
        <v>0.278538812785388</v>
      </c>
      <c r="F9" s="14" t="s">
        <v>131</v>
      </c>
    </row>
    <row r="10" customHeight="1" spans="1:8">
      <c r="A10" s="15">
        <v>42217</v>
      </c>
      <c r="B10" s="45">
        <v>1570.8</v>
      </c>
      <c r="C10" s="45">
        <v>5639.2</v>
      </c>
      <c r="D10" s="43">
        <f t="shared" si="0"/>
        <v>-4068.4</v>
      </c>
      <c r="E10" s="44">
        <f t="shared" si="1"/>
        <v>0.278550148957299</v>
      </c>
      <c r="F10" s="19" t="s">
        <v>131</v>
      </c>
    </row>
    <row r="11" customHeight="1" spans="1:8">
      <c r="A11" s="10">
        <v>42248</v>
      </c>
      <c r="B11" s="42">
        <v>1555.5</v>
      </c>
      <c r="C11" s="42">
        <v>5584.5</v>
      </c>
      <c r="D11" s="43">
        <f t="shared" si="0"/>
        <v>-4029</v>
      </c>
      <c r="E11" s="44">
        <f t="shared" si="1"/>
        <v>0.278538812785388</v>
      </c>
      <c r="F11" s="14" t="s">
        <v>131</v>
      </c>
    </row>
    <row r="12" customHeight="1" spans="1:8">
      <c r="A12" s="15">
        <v>42278</v>
      </c>
      <c r="B12" s="45">
        <v>1540.2</v>
      </c>
      <c r="C12" s="45">
        <v>5529.8</v>
      </c>
      <c r="D12" s="43">
        <f t="shared" si="0"/>
        <v>-3989.6</v>
      </c>
      <c r="E12" s="44">
        <f t="shared" si="1"/>
        <v>0.278527252341857</v>
      </c>
      <c r="F12" s="19" t="s">
        <v>131</v>
      </c>
      <c r="G12" s="46" t="s">
        <v>139</v>
      </c>
      <c r="H12" s="47">
        <f>AVERAGE(B3:B24)</f>
        <v>1448.00909090909</v>
      </c>
    </row>
    <row r="13" customHeight="1" spans="1:8">
      <c r="A13" s="10">
        <v>42309</v>
      </c>
      <c r="B13" s="42">
        <v>1540.2</v>
      </c>
      <c r="C13" s="42">
        <v>5529.8</v>
      </c>
      <c r="D13" s="43">
        <f t="shared" si="0"/>
        <v>-3989.6</v>
      </c>
      <c r="E13" s="44">
        <f t="shared" si="1"/>
        <v>0.278527252341857</v>
      </c>
      <c r="F13" s="14" t="s">
        <v>131</v>
      </c>
      <c r="G13" s="46" t="s">
        <v>140</v>
      </c>
      <c r="H13" s="47">
        <f>AVERAGE(B25:B122)</f>
        <v>2792.28367346939</v>
      </c>
    </row>
    <row r="14" customHeight="1" spans="1:8">
      <c r="A14" s="15">
        <v>42339</v>
      </c>
      <c r="B14" s="45">
        <v>1540.3</v>
      </c>
      <c r="C14" s="45">
        <v>5529.7</v>
      </c>
      <c r="D14" s="43">
        <f t="shared" si="0"/>
        <v>-3989.4</v>
      </c>
      <c r="E14" s="44">
        <f t="shared" si="1"/>
        <v>0.27855037343798</v>
      </c>
      <c r="F14" s="19" t="s">
        <v>131</v>
      </c>
      <c r="G14" s="46"/>
      <c r="H14" s="21">
        <f>(H13-H12)/H12</f>
        <v>0.928360595938201</v>
      </c>
    </row>
    <row r="15" customHeight="1" spans="1:8">
      <c r="A15" s="10">
        <v>42370</v>
      </c>
      <c r="B15" s="42">
        <v>1385.5</v>
      </c>
      <c r="C15" s="42">
        <v>4819.5</v>
      </c>
      <c r="D15" s="43">
        <f t="shared" si="0"/>
        <v>-3434</v>
      </c>
      <c r="E15" s="44">
        <f t="shared" si="1"/>
        <v>0.287477954144621</v>
      </c>
      <c r="F15" s="14" t="s">
        <v>131</v>
      </c>
    </row>
    <row r="16" customHeight="1" spans="1:8">
      <c r="A16" s="15">
        <v>42401</v>
      </c>
      <c r="B16" s="45">
        <v>1317.6</v>
      </c>
      <c r="C16" s="45">
        <v>4583.2</v>
      </c>
      <c r="D16" s="43">
        <f t="shared" si="0"/>
        <v>-3265.6</v>
      </c>
      <c r="E16" s="44">
        <f t="shared" si="1"/>
        <v>0.287484726828417</v>
      </c>
      <c r="F16" s="19" t="s">
        <v>131</v>
      </c>
    </row>
    <row r="17" customHeight="1" spans="1:6">
      <c r="A17" s="10">
        <v>42430</v>
      </c>
      <c r="B17" s="42">
        <v>1290.4</v>
      </c>
      <c r="C17" s="42">
        <v>4488.8</v>
      </c>
      <c r="D17" s="43">
        <f t="shared" si="0"/>
        <v>-3198.4</v>
      </c>
      <c r="E17" s="44">
        <f t="shared" si="1"/>
        <v>0.287471039030476</v>
      </c>
      <c r="F17" s="14" t="s">
        <v>131</v>
      </c>
    </row>
    <row r="18" customHeight="1" spans="1:6">
      <c r="A18" s="15">
        <v>42461</v>
      </c>
      <c r="B18" s="45">
        <v>1304</v>
      </c>
      <c r="C18" s="45">
        <v>4536</v>
      </c>
      <c r="D18" s="43">
        <f t="shared" si="0"/>
        <v>-3232</v>
      </c>
      <c r="E18" s="44">
        <f t="shared" si="1"/>
        <v>0.287477954144621</v>
      </c>
      <c r="F18" s="19" t="s">
        <v>131</v>
      </c>
    </row>
    <row r="19" customHeight="1" spans="1:6">
      <c r="A19" s="10">
        <v>42491</v>
      </c>
      <c r="B19" s="42">
        <v>1344.8</v>
      </c>
      <c r="C19" s="42">
        <v>4677.8</v>
      </c>
      <c r="D19" s="43">
        <f t="shared" si="0"/>
        <v>-3333</v>
      </c>
      <c r="E19" s="44">
        <f t="shared" si="1"/>
        <v>0.287485570139809</v>
      </c>
      <c r="F19" s="14" t="s">
        <v>131</v>
      </c>
    </row>
    <row r="20" customHeight="1" spans="1:6">
      <c r="A20" s="15">
        <v>42522</v>
      </c>
      <c r="B20" s="45">
        <v>1371.9</v>
      </c>
      <c r="C20" s="45">
        <v>4772.2</v>
      </c>
      <c r="D20" s="43">
        <f t="shared" si="0"/>
        <v>-3400.3</v>
      </c>
      <c r="E20" s="44">
        <f t="shared" si="1"/>
        <v>0.287477473701857</v>
      </c>
      <c r="F20" s="19" t="s">
        <v>131</v>
      </c>
    </row>
    <row r="21" customHeight="1" spans="1:6">
      <c r="A21" s="10">
        <v>42552</v>
      </c>
      <c r="B21" s="42">
        <v>1385.5</v>
      </c>
      <c r="C21" s="42">
        <v>4819.5</v>
      </c>
      <c r="D21" s="43">
        <f t="shared" si="0"/>
        <v>-3434</v>
      </c>
      <c r="E21" s="44">
        <f t="shared" si="1"/>
        <v>0.287477954144621</v>
      </c>
      <c r="F21" s="14" t="s">
        <v>131</v>
      </c>
    </row>
    <row r="22" customHeight="1" spans="1:6">
      <c r="A22" s="15">
        <v>42583</v>
      </c>
      <c r="B22" s="45">
        <v>1399.1</v>
      </c>
      <c r="C22" s="45">
        <v>4866.8</v>
      </c>
      <c r="D22" s="43">
        <f t="shared" si="0"/>
        <v>-3467.7</v>
      </c>
      <c r="E22" s="44">
        <f t="shared" si="1"/>
        <v>0.287478425248623</v>
      </c>
      <c r="F22" s="19" t="s">
        <v>131</v>
      </c>
    </row>
    <row r="23" customHeight="1" spans="1:6">
      <c r="A23" s="10">
        <v>42614</v>
      </c>
      <c r="B23" s="42">
        <v>1385.5</v>
      </c>
      <c r="C23" s="42">
        <v>4819.5</v>
      </c>
      <c r="D23" s="43">
        <f t="shared" si="0"/>
        <v>-3434</v>
      </c>
      <c r="E23" s="44">
        <f t="shared" si="1"/>
        <v>0.287477954144621</v>
      </c>
      <c r="F23" s="14" t="s">
        <v>131</v>
      </c>
    </row>
    <row r="24" customHeight="1" spans="1:6">
      <c r="A24" s="22">
        <v>42644</v>
      </c>
      <c r="B24" s="48">
        <v>1371.9</v>
      </c>
      <c r="C24" s="48">
        <v>4772.2</v>
      </c>
      <c r="D24" s="49">
        <f t="shared" si="0"/>
        <v>-3400.3</v>
      </c>
      <c r="E24" s="50">
        <f t="shared" si="1"/>
        <v>0.287477473701857</v>
      </c>
      <c r="F24" s="26" t="s">
        <v>131</v>
      </c>
    </row>
    <row r="25" customHeight="1" spans="1:6">
      <c r="A25" s="27">
        <v>42675</v>
      </c>
      <c r="B25" s="51">
        <v>1371.9</v>
      </c>
      <c r="C25" s="51">
        <v>4772.2</v>
      </c>
      <c r="D25" s="52">
        <f t="shared" si="0"/>
        <v>-3400.3</v>
      </c>
      <c r="E25" s="53">
        <f t="shared" si="1"/>
        <v>0.287477473701857</v>
      </c>
      <c r="F25" s="31" t="s">
        <v>131</v>
      </c>
    </row>
    <row r="26" customHeight="1" spans="1:6">
      <c r="A26" s="32">
        <v>42705</v>
      </c>
      <c r="B26" s="54">
        <v>1371.9</v>
      </c>
      <c r="C26" s="54">
        <v>4772.3</v>
      </c>
      <c r="D26" s="55">
        <f t="shared" si="0"/>
        <v>-3400.4</v>
      </c>
      <c r="E26" s="56">
        <f t="shared" si="1"/>
        <v>0.287471449825032</v>
      </c>
      <c r="F26" s="36" t="s">
        <v>131</v>
      </c>
    </row>
    <row r="27" customHeight="1" spans="1:6">
      <c r="A27" s="10">
        <v>42736</v>
      </c>
      <c r="B27" s="42">
        <v>1904</v>
      </c>
      <c r="C27" s="42">
        <v>5202</v>
      </c>
      <c r="D27" s="43">
        <f t="shared" si="0"/>
        <v>-3298</v>
      </c>
      <c r="E27" s="44">
        <f t="shared" si="1"/>
        <v>0.366013071895425</v>
      </c>
      <c r="F27" s="14" t="s">
        <v>131</v>
      </c>
    </row>
    <row r="28" customHeight="1" spans="1:6">
      <c r="A28" s="15">
        <v>42767</v>
      </c>
      <c r="B28" s="45">
        <v>1810.7</v>
      </c>
      <c r="C28" s="45">
        <v>4947</v>
      </c>
      <c r="D28" s="43">
        <f t="shared" si="0"/>
        <v>-3136.3</v>
      </c>
      <c r="E28" s="44">
        <f t="shared" si="1"/>
        <v>0.36601980998585</v>
      </c>
      <c r="F28" s="19" t="s">
        <v>131</v>
      </c>
    </row>
    <row r="29" customHeight="1" spans="1:6">
      <c r="A29" s="10">
        <v>42795</v>
      </c>
      <c r="B29" s="42">
        <v>1773.3</v>
      </c>
      <c r="C29" s="42">
        <v>4845</v>
      </c>
      <c r="D29" s="43">
        <f t="shared" si="0"/>
        <v>-3071.7</v>
      </c>
      <c r="E29" s="44">
        <f t="shared" si="1"/>
        <v>0.366006191950464</v>
      </c>
      <c r="F29" s="14" t="s">
        <v>131</v>
      </c>
    </row>
    <row r="30" customHeight="1" spans="1:6">
      <c r="A30" s="15">
        <v>42826</v>
      </c>
      <c r="B30" s="45">
        <v>1792</v>
      </c>
      <c r="C30" s="45">
        <v>4896</v>
      </c>
      <c r="D30" s="43">
        <f t="shared" si="0"/>
        <v>-3104</v>
      </c>
      <c r="E30" s="44">
        <f t="shared" si="1"/>
        <v>0.366013071895425</v>
      </c>
      <c r="F30" s="19" t="s">
        <v>131</v>
      </c>
    </row>
    <row r="31" customHeight="1" spans="1:6">
      <c r="A31" s="10">
        <v>42856</v>
      </c>
      <c r="B31" s="42">
        <v>1848</v>
      </c>
      <c r="C31" s="42">
        <v>5049</v>
      </c>
      <c r="D31" s="43">
        <f t="shared" si="0"/>
        <v>-3201</v>
      </c>
      <c r="E31" s="44">
        <f t="shared" si="1"/>
        <v>0.366013071895425</v>
      </c>
      <c r="F31" s="14" t="s">
        <v>131</v>
      </c>
    </row>
    <row r="32" customHeight="1" spans="1:6">
      <c r="A32" s="15">
        <v>42887</v>
      </c>
      <c r="B32" s="45">
        <v>1885.3</v>
      </c>
      <c r="C32" s="45">
        <v>5151</v>
      </c>
      <c r="D32" s="43">
        <f t="shared" si="0"/>
        <v>-3265.7</v>
      </c>
      <c r="E32" s="44">
        <f t="shared" si="1"/>
        <v>0.366006600660066</v>
      </c>
      <c r="F32" s="19" t="s">
        <v>131</v>
      </c>
    </row>
    <row r="33" customHeight="1" spans="1:6">
      <c r="A33" s="10">
        <v>42917</v>
      </c>
      <c r="B33" s="42">
        <v>1904</v>
      </c>
      <c r="C33" s="42">
        <v>5202</v>
      </c>
      <c r="D33" s="43">
        <f t="shared" si="0"/>
        <v>-3298</v>
      </c>
      <c r="E33" s="44">
        <f t="shared" si="1"/>
        <v>0.366013071895425</v>
      </c>
      <c r="F33" s="14" t="s">
        <v>131</v>
      </c>
    </row>
    <row r="34" customHeight="1" spans="1:6">
      <c r="A34" s="15">
        <v>42948</v>
      </c>
      <c r="B34" s="45">
        <v>1922.7</v>
      </c>
      <c r="C34" s="45">
        <v>5253</v>
      </c>
      <c r="D34" s="43">
        <f t="shared" si="0"/>
        <v>-3330.3</v>
      </c>
      <c r="E34" s="44">
        <f t="shared" si="1"/>
        <v>0.366019417475728</v>
      </c>
      <c r="F34" s="19" t="s">
        <v>131</v>
      </c>
    </row>
    <row r="35" customHeight="1" spans="1:6">
      <c r="A35" s="10">
        <v>42979</v>
      </c>
      <c r="B35" s="42">
        <v>1904</v>
      </c>
      <c r="C35" s="42">
        <v>5202</v>
      </c>
      <c r="D35" s="43">
        <f t="shared" si="0"/>
        <v>-3298</v>
      </c>
      <c r="E35" s="44">
        <f t="shared" si="1"/>
        <v>0.366013071895425</v>
      </c>
      <c r="F35" s="14" t="s">
        <v>131</v>
      </c>
    </row>
    <row r="36" customHeight="1" spans="1:6">
      <c r="A36" s="15">
        <v>43009</v>
      </c>
      <c r="B36" s="45">
        <v>1885.3</v>
      </c>
      <c r="C36" s="45">
        <v>5151</v>
      </c>
      <c r="D36" s="43">
        <f t="shared" si="0"/>
        <v>-3265.7</v>
      </c>
      <c r="E36" s="44">
        <f t="shared" si="1"/>
        <v>0.366006600660066</v>
      </c>
      <c r="F36" s="19" t="s">
        <v>131</v>
      </c>
    </row>
    <row r="37" customHeight="1" spans="1:6">
      <c r="A37" s="10">
        <v>43040</v>
      </c>
      <c r="B37" s="42">
        <v>1885.3</v>
      </c>
      <c r="C37" s="42">
        <v>5151</v>
      </c>
      <c r="D37" s="43">
        <f t="shared" si="0"/>
        <v>-3265.7</v>
      </c>
      <c r="E37" s="44">
        <f t="shared" si="1"/>
        <v>0.366006600660066</v>
      </c>
      <c r="F37" s="14" t="s">
        <v>131</v>
      </c>
    </row>
    <row r="38" customHeight="1" spans="1:6">
      <c r="A38" s="15">
        <v>43070</v>
      </c>
      <c r="B38" s="45">
        <v>1885.4</v>
      </c>
      <c r="C38" s="45">
        <v>5151</v>
      </c>
      <c r="D38" s="43">
        <f t="shared" si="0"/>
        <v>-3265.6</v>
      </c>
      <c r="E38" s="44">
        <f t="shared" si="1"/>
        <v>0.366026014366143</v>
      </c>
      <c r="F38" s="19" t="s">
        <v>131</v>
      </c>
    </row>
    <row r="39" customHeight="1" spans="1:6">
      <c r="A39" s="10">
        <v>43101</v>
      </c>
      <c r="B39" s="42">
        <v>2286.5</v>
      </c>
      <c r="C39" s="42">
        <v>5797</v>
      </c>
      <c r="D39" s="43">
        <f t="shared" si="0"/>
        <v>-3510.5</v>
      </c>
      <c r="E39" s="44">
        <f t="shared" si="1"/>
        <v>0.394428152492669</v>
      </c>
      <c r="F39" s="14" t="s">
        <v>131</v>
      </c>
    </row>
    <row r="40" customHeight="1" spans="1:6">
      <c r="A40" s="15">
        <v>43132</v>
      </c>
      <c r="B40" s="45">
        <v>2174.4</v>
      </c>
      <c r="C40" s="45">
        <v>5512.8</v>
      </c>
      <c r="D40" s="43">
        <f t="shared" si="0"/>
        <v>-3338.4</v>
      </c>
      <c r="E40" s="44">
        <f t="shared" si="1"/>
        <v>0.39442751414889</v>
      </c>
      <c r="F40" s="19" t="s">
        <v>131</v>
      </c>
    </row>
    <row r="41" customHeight="1" spans="1:6">
      <c r="A41" s="10">
        <v>43160</v>
      </c>
      <c r="B41" s="42">
        <v>2129.6</v>
      </c>
      <c r="C41" s="42">
        <v>5399.2</v>
      </c>
      <c r="D41" s="43">
        <f t="shared" si="0"/>
        <v>-3269.6</v>
      </c>
      <c r="E41" s="44">
        <f t="shared" si="1"/>
        <v>0.394428804267299</v>
      </c>
      <c r="F41" s="14" t="s">
        <v>131</v>
      </c>
    </row>
    <row r="42" customHeight="1" spans="1:6">
      <c r="A42" s="15">
        <v>43191</v>
      </c>
      <c r="B42" s="45">
        <v>2152</v>
      </c>
      <c r="C42" s="45">
        <v>5456</v>
      </c>
      <c r="D42" s="43">
        <f t="shared" si="0"/>
        <v>-3304</v>
      </c>
      <c r="E42" s="44">
        <f t="shared" si="1"/>
        <v>0.394428152492669</v>
      </c>
      <c r="F42" s="19" t="s">
        <v>131</v>
      </c>
    </row>
    <row r="43" customHeight="1" spans="1:6">
      <c r="A43" s="10">
        <v>43221</v>
      </c>
      <c r="B43" s="42">
        <v>2219.2</v>
      </c>
      <c r="C43" s="42">
        <v>5626.5</v>
      </c>
      <c r="D43" s="43">
        <f t="shared" si="0"/>
        <v>-3407.3</v>
      </c>
      <c r="E43" s="44">
        <f t="shared" si="1"/>
        <v>0.394419265973518</v>
      </c>
      <c r="F43" s="14" t="s">
        <v>131</v>
      </c>
    </row>
    <row r="44" customHeight="1" spans="1:6">
      <c r="A44" s="15">
        <v>43252</v>
      </c>
      <c r="B44" s="45">
        <v>2264.1</v>
      </c>
      <c r="C44" s="45">
        <v>5740.2</v>
      </c>
      <c r="D44" s="43">
        <f t="shared" si="0"/>
        <v>-3476.1</v>
      </c>
      <c r="E44" s="44">
        <f t="shared" si="1"/>
        <v>0.394428765548239</v>
      </c>
      <c r="F44" s="19" t="s">
        <v>131</v>
      </c>
    </row>
    <row r="45" customHeight="1" spans="1:6">
      <c r="A45" s="10">
        <v>43282</v>
      </c>
      <c r="B45" s="42">
        <v>2286.5</v>
      </c>
      <c r="C45" s="42">
        <v>5797</v>
      </c>
      <c r="D45" s="43">
        <f t="shared" si="0"/>
        <v>-3510.5</v>
      </c>
      <c r="E45" s="44">
        <f t="shared" si="1"/>
        <v>0.394428152492669</v>
      </c>
      <c r="F45" s="14" t="s">
        <v>131</v>
      </c>
    </row>
    <row r="46" customHeight="1" spans="1:6">
      <c r="A46" s="15">
        <v>43313</v>
      </c>
      <c r="B46" s="45">
        <v>2308.9</v>
      </c>
      <c r="C46" s="45">
        <v>5853.8</v>
      </c>
      <c r="D46" s="43">
        <f t="shared" si="0"/>
        <v>-3544.9</v>
      </c>
      <c r="E46" s="44">
        <f t="shared" si="1"/>
        <v>0.394427551334176</v>
      </c>
      <c r="F46" s="19" t="s">
        <v>131</v>
      </c>
    </row>
    <row r="47" customHeight="1" spans="1:6">
      <c r="A47" s="10">
        <v>43344</v>
      </c>
      <c r="B47" s="42">
        <v>2286.5</v>
      </c>
      <c r="C47" s="42">
        <v>5797</v>
      </c>
      <c r="D47" s="43">
        <f t="shared" si="0"/>
        <v>-3510.5</v>
      </c>
      <c r="E47" s="44">
        <f t="shared" si="1"/>
        <v>0.394428152492669</v>
      </c>
      <c r="F47" s="14" t="s">
        <v>131</v>
      </c>
    </row>
    <row r="48" customHeight="1" spans="1:6">
      <c r="A48" s="15">
        <v>43374</v>
      </c>
      <c r="B48" s="45">
        <v>2264.1</v>
      </c>
      <c r="C48" s="45">
        <v>5740.2</v>
      </c>
      <c r="D48" s="43">
        <f t="shared" si="0"/>
        <v>-3476.1</v>
      </c>
      <c r="E48" s="44">
        <f t="shared" si="1"/>
        <v>0.394428765548239</v>
      </c>
      <c r="F48" s="19" t="s">
        <v>131</v>
      </c>
    </row>
    <row r="49" customHeight="1" spans="1:6">
      <c r="A49" s="10">
        <v>43405</v>
      </c>
      <c r="B49" s="42">
        <v>2264.1</v>
      </c>
      <c r="C49" s="42">
        <v>5740.2</v>
      </c>
      <c r="D49" s="43">
        <f t="shared" si="0"/>
        <v>-3476.1</v>
      </c>
      <c r="E49" s="44">
        <f t="shared" si="1"/>
        <v>0.394428765548239</v>
      </c>
      <c r="F49" s="14" t="s">
        <v>131</v>
      </c>
    </row>
    <row r="50" customHeight="1" spans="1:6">
      <c r="A50" s="15">
        <v>43435</v>
      </c>
      <c r="B50" s="45">
        <v>2264.1</v>
      </c>
      <c r="C50" s="45">
        <v>5740.1</v>
      </c>
      <c r="D50" s="43">
        <f t="shared" si="0"/>
        <v>-3476</v>
      </c>
      <c r="E50" s="44">
        <f t="shared" si="1"/>
        <v>0.394435637009808</v>
      </c>
      <c r="F50" s="19" t="s">
        <v>131</v>
      </c>
    </row>
    <row r="51" customHeight="1" spans="1:6">
      <c r="A51" s="10">
        <v>43466</v>
      </c>
      <c r="B51" s="42">
        <v>2278</v>
      </c>
      <c r="C51" s="42">
        <v>5601.5</v>
      </c>
      <c r="D51" s="43">
        <f t="shared" si="0"/>
        <v>-3323.5</v>
      </c>
      <c r="E51" s="44">
        <f t="shared" si="1"/>
        <v>0.406676783004552</v>
      </c>
      <c r="F51" s="14" t="s">
        <v>131</v>
      </c>
    </row>
    <row r="52" customHeight="1" spans="1:6">
      <c r="A52" s="15">
        <v>43497</v>
      </c>
      <c r="B52" s="45">
        <v>2166.3</v>
      </c>
      <c r="C52" s="45">
        <v>5326.9</v>
      </c>
      <c r="D52" s="43">
        <f t="shared" si="0"/>
        <v>-3160.6</v>
      </c>
      <c r="E52" s="44">
        <f t="shared" si="1"/>
        <v>0.406671797856164</v>
      </c>
      <c r="F52" s="19" t="s">
        <v>131</v>
      </c>
    </row>
    <row r="53" customHeight="1" spans="1:6">
      <c r="A53" s="10">
        <v>43525</v>
      </c>
      <c r="B53" s="42">
        <v>2121.7</v>
      </c>
      <c r="C53" s="42">
        <v>5217.1</v>
      </c>
      <c r="D53" s="43">
        <f t="shared" si="0"/>
        <v>-3095.4</v>
      </c>
      <c r="E53" s="44">
        <f t="shared" si="1"/>
        <v>0.406681873071246</v>
      </c>
      <c r="F53" s="14" t="s">
        <v>131</v>
      </c>
    </row>
    <row r="54" customHeight="1" spans="1:6">
      <c r="A54" s="15">
        <v>43556</v>
      </c>
      <c r="B54" s="45">
        <v>2144</v>
      </c>
      <c r="C54" s="45">
        <v>5272</v>
      </c>
      <c r="D54" s="43">
        <f t="shared" si="0"/>
        <v>-3128</v>
      </c>
      <c r="E54" s="44">
        <f t="shared" si="1"/>
        <v>0.406676783004552</v>
      </c>
      <c r="F54" s="19" t="s">
        <v>131</v>
      </c>
    </row>
    <row r="55" customHeight="1" spans="1:6">
      <c r="A55" s="10">
        <v>43586</v>
      </c>
      <c r="B55" s="42">
        <v>2211</v>
      </c>
      <c r="C55" s="42">
        <v>5436.8</v>
      </c>
      <c r="D55" s="43">
        <f t="shared" si="0"/>
        <v>-3225.8</v>
      </c>
      <c r="E55" s="44">
        <f t="shared" si="1"/>
        <v>0.406673042966451</v>
      </c>
      <c r="F55" s="14" t="s">
        <v>131</v>
      </c>
    </row>
    <row r="56" customHeight="1" spans="1:6">
      <c r="A56" s="15">
        <v>43617</v>
      </c>
      <c r="B56" s="45">
        <v>2255.7</v>
      </c>
      <c r="C56" s="45">
        <v>5546.6</v>
      </c>
      <c r="D56" s="43">
        <f t="shared" si="0"/>
        <v>-3290.9</v>
      </c>
      <c r="E56" s="44">
        <f t="shared" si="1"/>
        <v>0.406681570691955</v>
      </c>
      <c r="F56" s="19" t="s">
        <v>131</v>
      </c>
    </row>
    <row r="57" customHeight="1" spans="1:6">
      <c r="A57" s="10">
        <v>43647</v>
      </c>
      <c r="B57" s="42">
        <v>2278</v>
      </c>
      <c r="C57" s="42">
        <v>5601.5</v>
      </c>
      <c r="D57" s="43">
        <f t="shared" si="0"/>
        <v>-3323.5</v>
      </c>
      <c r="E57" s="44">
        <f t="shared" si="1"/>
        <v>0.406676783004552</v>
      </c>
      <c r="F57" s="14" t="s">
        <v>131</v>
      </c>
    </row>
    <row r="58" customHeight="1" spans="1:6">
      <c r="A58" s="15">
        <v>43678</v>
      </c>
      <c r="B58" s="45">
        <v>2300.3</v>
      </c>
      <c r="C58" s="45">
        <v>5656.4</v>
      </c>
      <c r="D58" s="43">
        <f t="shared" si="0"/>
        <v>-3356.1</v>
      </c>
      <c r="E58" s="44">
        <f t="shared" si="1"/>
        <v>0.406672088254013</v>
      </c>
      <c r="F58" s="19" t="s">
        <v>131</v>
      </c>
    </row>
    <row r="59" customHeight="1" spans="1:6">
      <c r="A59" s="10">
        <v>43709</v>
      </c>
      <c r="B59" s="42">
        <v>2278</v>
      </c>
      <c r="C59" s="42">
        <v>5601.5</v>
      </c>
      <c r="D59" s="43">
        <f t="shared" si="0"/>
        <v>-3323.5</v>
      </c>
      <c r="E59" s="44">
        <f t="shared" si="1"/>
        <v>0.406676783004552</v>
      </c>
      <c r="F59" s="14" t="s">
        <v>131</v>
      </c>
    </row>
    <row r="60" customHeight="1" spans="1:6">
      <c r="A60" s="15">
        <v>43739</v>
      </c>
      <c r="B60" s="45">
        <v>2255.7</v>
      </c>
      <c r="C60" s="45">
        <v>5546.6</v>
      </c>
      <c r="D60" s="43">
        <f t="shared" si="0"/>
        <v>-3290.9</v>
      </c>
      <c r="E60" s="44">
        <f t="shared" si="1"/>
        <v>0.406681570691955</v>
      </c>
      <c r="F60" s="19" t="s">
        <v>131</v>
      </c>
    </row>
    <row r="61" customHeight="1" spans="1:6">
      <c r="A61" s="10">
        <v>43770</v>
      </c>
      <c r="B61" s="42">
        <v>2255.7</v>
      </c>
      <c r="C61" s="42">
        <v>5546.6</v>
      </c>
      <c r="D61" s="43">
        <f t="shared" si="0"/>
        <v>-3290.9</v>
      </c>
      <c r="E61" s="44">
        <f t="shared" si="1"/>
        <v>0.406681570691955</v>
      </c>
      <c r="F61" s="14" t="s">
        <v>131</v>
      </c>
    </row>
    <row r="62" customHeight="1" spans="1:6">
      <c r="A62" s="15">
        <v>43800</v>
      </c>
      <c r="B62" s="45">
        <v>2255.6</v>
      </c>
      <c r="C62" s="45">
        <v>5546.5</v>
      </c>
      <c r="D62" s="43">
        <f t="shared" si="0"/>
        <v>-3290.9</v>
      </c>
      <c r="E62" s="44">
        <f t="shared" si="1"/>
        <v>0.406670873523844</v>
      </c>
      <c r="F62" s="19" t="s">
        <v>131</v>
      </c>
    </row>
    <row r="63" customHeight="1" spans="1:6">
      <c r="A63" s="10">
        <v>43831</v>
      </c>
      <c r="B63" s="42">
        <v>1904</v>
      </c>
      <c r="C63" s="42">
        <v>4811</v>
      </c>
      <c r="D63" s="43">
        <f t="shared" si="0"/>
        <v>-2907</v>
      </c>
      <c r="E63" s="44">
        <f t="shared" si="1"/>
        <v>0.395759717314488</v>
      </c>
      <c r="F63" s="14" t="s">
        <v>131</v>
      </c>
    </row>
    <row r="64" customHeight="1" spans="1:6">
      <c r="A64" s="15">
        <v>43862</v>
      </c>
      <c r="B64" s="45">
        <v>1810.7</v>
      </c>
      <c r="C64" s="45">
        <v>4575.2</v>
      </c>
      <c r="D64" s="43">
        <f t="shared" si="0"/>
        <v>-2764.5</v>
      </c>
      <c r="E64" s="44">
        <f t="shared" si="1"/>
        <v>0.395764119601329</v>
      </c>
      <c r="F64" s="19" t="s">
        <v>131</v>
      </c>
    </row>
    <row r="65" customHeight="1" spans="1:6">
      <c r="A65" s="10">
        <v>43891</v>
      </c>
      <c r="B65" s="42">
        <v>1773.3</v>
      </c>
      <c r="C65" s="42">
        <v>4480.8</v>
      </c>
      <c r="D65" s="43">
        <f t="shared" si="0"/>
        <v>-2707.5</v>
      </c>
      <c r="E65" s="44">
        <f t="shared" si="1"/>
        <v>0.395755222281735</v>
      </c>
      <c r="F65" s="14" t="s">
        <v>131</v>
      </c>
    </row>
    <row r="66" customHeight="1" spans="1:6">
      <c r="A66" s="15">
        <v>43922</v>
      </c>
      <c r="B66" s="45">
        <v>1792</v>
      </c>
      <c r="C66" s="45">
        <v>4528</v>
      </c>
      <c r="D66" s="43">
        <f t="shared" si="0"/>
        <v>-2736</v>
      </c>
      <c r="E66" s="44">
        <f t="shared" si="1"/>
        <v>0.395759717314488</v>
      </c>
      <c r="F66" s="19" t="s">
        <v>131</v>
      </c>
    </row>
    <row r="67" customHeight="1" spans="1:6">
      <c r="A67" s="10">
        <v>43952</v>
      </c>
      <c r="B67" s="42">
        <v>1848</v>
      </c>
      <c r="C67" s="42">
        <v>4669.5</v>
      </c>
      <c r="D67" s="43">
        <f t="shared" si="0"/>
        <v>-2821.5</v>
      </c>
      <c r="E67" s="44">
        <f t="shared" si="1"/>
        <v>0.395759717314488</v>
      </c>
      <c r="F67" s="14" t="s">
        <v>131</v>
      </c>
    </row>
    <row r="68" customHeight="1" spans="1:6">
      <c r="A68" s="15">
        <v>43983</v>
      </c>
      <c r="B68" s="45">
        <v>1885.3</v>
      </c>
      <c r="C68" s="45">
        <v>4763.8</v>
      </c>
      <c r="D68" s="43">
        <f t="shared" ref="D68:D122" si="2">B68-C68</f>
        <v>-2878.5</v>
      </c>
      <c r="E68" s="44">
        <f t="shared" ref="E68:E122" si="3">B68/C68</f>
        <v>0.395755489315253</v>
      </c>
      <c r="F68" s="19" t="s">
        <v>131</v>
      </c>
    </row>
    <row r="69" customHeight="1" spans="1:6">
      <c r="A69" s="10">
        <v>44013</v>
      </c>
      <c r="B69" s="42">
        <v>1904</v>
      </c>
      <c r="C69" s="42">
        <v>4811</v>
      </c>
      <c r="D69" s="43">
        <f t="shared" si="2"/>
        <v>-2907</v>
      </c>
      <c r="E69" s="44">
        <f t="shared" si="3"/>
        <v>0.395759717314488</v>
      </c>
      <c r="F69" s="14" t="s">
        <v>131</v>
      </c>
    </row>
    <row r="70" customHeight="1" spans="1:6">
      <c r="A70" s="15">
        <v>44044</v>
      </c>
      <c r="B70" s="45">
        <v>1922.7</v>
      </c>
      <c r="C70" s="45">
        <v>4858.2</v>
      </c>
      <c r="D70" s="43">
        <f t="shared" si="2"/>
        <v>-2935.5</v>
      </c>
      <c r="E70" s="44">
        <f t="shared" si="3"/>
        <v>0.395763863159195</v>
      </c>
      <c r="F70" s="19" t="s">
        <v>131</v>
      </c>
    </row>
    <row r="71" customHeight="1" spans="1:6">
      <c r="A71" s="10">
        <v>44075</v>
      </c>
      <c r="B71" s="42">
        <v>1904</v>
      </c>
      <c r="C71" s="42">
        <v>4811</v>
      </c>
      <c r="D71" s="43">
        <f t="shared" si="2"/>
        <v>-2907</v>
      </c>
      <c r="E71" s="44">
        <f t="shared" si="3"/>
        <v>0.395759717314488</v>
      </c>
      <c r="F71" s="14" t="s">
        <v>131</v>
      </c>
    </row>
    <row r="72" customHeight="1" spans="1:6">
      <c r="A72" s="15">
        <v>44105</v>
      </c>
      <c r="B72" s="45">
        <v>1885.3</v>
      </c>
      <c r="C72" s="45">
        <v>4763.8</v>
      </c>
      <c r="D72" s="43">
        <f t="shared" si="2"/>
        <v>-2878.5</v>
      </c>
      <c r="E72" s="44">
        <f t="shared" si="3"/>
        <v>0.395755489315253</v>
      </c>
      <c r="F72" s="19" t="s">
        <v>131</v>
      </c>
    </row>
    <row r="73" customHeight="1" spans="1:6">
      <c r="A73" s="10">
        <v>44136</v>
      </c>
      <c r="B73" s="42">
        <v>1885.3</v>
      </c>
      <c r="C73" s="42">
        <v>4763.8</v>
      </c>
      <c r="D73" s="43">
        <f t="shared" si="2"/>
        <v>-2878.5</v>
      </c>
      <c r="E73" s="44">
        <f t="shared" si="3"/>
        <v>0.395755489315253</v>
      </c>
      <c r="F73" s="14" t="s">
        <v>131</v>
      </c>
    </row>
    <row r="74" customHeight="1" spans="1:6">
      <c r="A74" s="15">
        <v>44166</v>
      </c>
      <c r="B74" s="45">
        <v>1885.4</v>
      </c>
      <c r="C74" s="45">
        <v>4763.9</v>
      </c>
      <c r="D74" s="43">
        <f t="shared" si="2"/>
        <v>-2878.5</v>
      </c>
      <c r="E74" s="44">
        <f t="shared" si="3"/>
        <v>0.395768173135456</v>
      </c>
      <c r="F74" s="19" t="s">
        <v>131</v>
      </c>
    </row>
    <row r="75" customHeight="1" spans="1:6">
      <c r="A75" s="10">
        <v>44197</v>
      </c>
      <c r="B75" s="42">
        <v>2771</v>
      </c>
      <c r="C75" s="42">
        <v>6035</v>
      </c>
      <c r="D75" s="43">
        <f t="shared" si="2"/>
        <v>-3264</v>
      </c>
      <c r="E75" s="44">
        <f t="shared" si="3"/>
        <v>0.459154929577465</v>
      </c>
      <c r="F75" s="14" t="s">
        <v>131</v>
      </c>
    </row>
    <row r="76" customHeight="1" spans="1:6">
      <c r="A76" s="15">
        <v>44228</v>
      </c>
      <c r="B76" s="45">
        <v>2635.2</v>
      </c>
      <c r="C76" s="45">
        <v>5739.2</v>
      </c>
      <c r="D76" s="43">
        <f t="shared" si="2"/>
        <v>-3104</v>
      </c>
      <c r="E76" s="44">
        <f t="shared" si="3"/>
        <v>0.459158070811263</v>
      </c>
      <c r="F76" s="19" t="s">
        <v>131</v>
      </c>
    </row>
    <row r="77" customHeight="1" spans="1:6">
      <c r="A77" s="10">
        <v>44256</v>
      </c>
      <c r="B77" s="42">
        <v>2580.8</v>
      </c>
      <c r="C77" s="42">
        <v>5620.8</v>
      </c>
      <c r="D77" s="43">
        <f t="shared" si="2"/>
        <v>-3040</v>
      </c>
      <c r="E77" s="44">
        <f t="shared" si="3"/>
        <v>0.459151722174779</v>
      </c>
      <c r="F77" s="14" t="s">
        <v>131</v>
      </c>
    </row>
    <row r="78" customHeight="1" spans="1:6">
      <c r="A78" s="15">
        <v>44287</v>
      </c>
      <c r="B78" s="45">
        <v>2608</v>
      </c>
      <c r="C78" s="45">
        <v>5680</v>
      </c>
      <c r="D78" s="43">
        <f t="shared" si="2"/>
        <v>-3072</v>
      </c>
      <c r="E78" s="44">
        <f t="shared" si="3"/>
        <v>0.459154929577465</v>
      </c>
      <c r="F78" s="19" t="s">
        <v>131</v>
      </c>
    </row>
    <row r="79" customHeight="1" spans="1:6">
      <c r="A79" s="10">
        <v>44317</v>
      </c>
      <c r="B79" s="42">
        <v>2689.5</v>
      </c>
      <c r="C79" s="42">
        <v>5857.5</v>
      </c>
      <c r="D79" s="43">
        <f t="shared" si="2"/>
        <v>-3168</v>
      </c>
      <c r="E79" s="44">
        <f t="shared" si="3"/>
        <v>0.459154929577465</v>
      </c>
      <c r="F79" s="14" t="s">
        <v>131</v>
      </c>
    </row>
    <row r="80" customHeight="1" spans="1:6">
      <c r="A80" s="15">
        <v>44348</v>
      </c>
      <c r="B80" s="45">
        <v>2743.8</v>
      </c>
      <c r="C80" s="45">
        <v>5975.8</v>
      </c>
      <c r="D80" s="43">
        <f t="shared" si="2"/>
        <v>-3232</v>
      </c>
      <c r="E80" s="44">
        <f t="shared" si="3"/>
        <v>0.459151912714616</v>
      </c>
      <c r="F80" s="19" t="s">
        <v>131</v>
      </c>
    </row>
    <row r="81" customHeight="1" spans="1:6">
      <c r="A81" s="10">
        <v>44378</v>
      </c>
      <c r="B81" s="42">
        <v>2771</v>
      </c>
      <c r="C81" s="42">
        <v>6035</v>
      </c>
      <c r="D81" s="43">
        <f t="shared" si="2"/>
        <v>-3264</v>
      </c>
      <c r="E81" s="44">
        <f t="shared" si="3"/>
        <v>0.459154929577465</v>
      </c>
      <c r="F81" s="14" t="s">
        <v>131</v>
      </c>
    </row>
    <row r="82" customHeight="1" spans="1:6">
      <c r="A82" s="15">
        <v>44409</v>
      </c>
      <c r="B82" s="45">
        <v>2798.2</v>
      </c>
      <c r="C82" s="45">
        <v>6094.2</v>
      </c>
      <c r="D82" s="43">
        <f t="shared" si="2"/>
        <v>-3296</v>
      </c>
      <c r="E82" s="44">
        <f t="shared" si="3"/>
        <v>0.459157887827771</v>
      </c>
      <c r="F82" s="19" t="s">
        <v>131</v>
      </c>
    </row>
    <row r="83" customHeight="1" spans="1:6">
      <c r="A83" s="10">
        <v>44440</v>
      </c>
      <c r="B83" s="42">
        <v>2771</v>
      </c>
      <c r="C83" s="42">
        <v>6035</v>
      </c>
      <c r="D83" s="43">
        <f t="shared" si="2"/>
        <v>-3264</v>
      </c>
      <c r="E83" s="44">
        <f t="shared" si="3"/>
        <v>0.459154929577465</v>
      </c>
      <c r="F83" s="14" t="s">
        <v>131</v>
      </c>
    </row>
    <row r="84" customHeight="1" spans="1:6">
      <c r="A84" s="15">
        <v>44470</v>
      </c>
      <c r="B84" s="45">
        <v>2743.8</v>
      </c>
      <c r="C84" s="45">
        <v>5975.8</v>
      </c>
      <c r="D84" s="43">
        <f t="shared" si="2"/>
        <v>-3232</v>
      </c>
      <c r="E84" s="44">
        <f t="shared" si="3"/>
        <v>0.459151912714616</v>
      </c>
      <c r="F84" s="19" t="s">
        <v>131</v>
      </c>
    </row>
    <row r="85" customHeight="1" spans="1:6">
      <c r="A85" s="10">
        <v>44501</v>
      </c>
      <c r="B85" s="42">
        <v>2743.8</v>
      </c>
      <c r="C85" s="42">
        <v>5975.8</v>
      </c>
      <c r="D85" s="43">
        <f t="shared" si="2"/>
        <v>-3232</v>
      </c>
      <c r="E85" s="44">
        <f t="shared" si="3"/>
        <v>0.459151912714616</v>
      </c>
      <c r="F85" s="14" t="s">
        <v>131</v>
      </c>
    </row>
    <row r="86" customHeight="1" spans="1:6">
      <c r="A86" s="15">
        <v>44531</v>
      </c>
      <c r="B86" s="45">
        <v>2743.9</v>
      </c>
      <c r="C86" s="45">
        <v>5975.9</v>
      </c>
      <c r="D86" s="43">
        <f t="shared" si="2"/>
        <v>-3232</v>
      </c>
      <c r="E86" s="44">
        <f t="shared" si="3"/>
        <v>0.459160963202196</v>
      </c>
      <c r="F86" s="19" t="s">
        <v>131</v>
      </c>
    </row>
    <row r="87" customHeight="1" spans="1:6">
      <c r="A87" s="10">
        <v>44562</v>
      </c>
      <c r="B87" s="42">
        <v>4411.5</v>
      </c>
      <c r="C87" s="42">
        <v>7590.5</v>
      </c>
      <c r="D87" s="43">
        <f t="shared" si="2"/>
        <v>-3179</v>
      </c>
      <c r="E87" s="44">
        <f t="shared" si="3"/>
        <v>0.581187010078387</v>
      </c>
      <c r="F87" s="14" t="s">
        <v>131</v>
      </c>
    </row>
    <row r="88" customHeight="1" spans="1:6">
      <c r="A88" s="15">
        <v>44593</v>
      </c>
      <c r="B88" s="45">
        <v>4195.2</v>
      </c>
      <c r="C88" s="45">
        <v>7218.4</v>
      </c>
      <c r="D88" s="43">
        <f t="shared" si="2"/>
        <v>-3023.2</v>
      </c>
      <c r="E88" s="44">
        <f t="shared" si="3"/>
        <v>0.581181425246592</v>
      </c>
      <c r="F88" s="19" t="s">
        <v>131</v>
      </c>
    </row>
    <row r="89" customHeight="1" spans="1:6">
      <c r="A89" s="10">
        <v>44621</v>
      </c>
      <c r="B89" s="42">
        <v>4108.8</v>
      </c>
      <c r="C89" s="42">
        <v>7069.6</v>
      </c>
      <c r="D89" s="43">
        <f t="shared" si="2"/>
        <v>-2960.8</v>
      </c>
      <c r="E89" s="44">
        <f t="shared" si="3"/>
        <v>0.581192712458979</v>
      </c>
      <c r="F89" s="14" t="s">
        <v>131</v>
      </c>
    </row>
    <row r="90" customHeight="1" spans="1:6">
      <c r="A90" s="15">
        <v>44652</v>
      </c>
      <c r="B90" s="45">
        <v>4152</v>
      </c>
      <c r="C90" s="45">
        <v>7144</v>
      </c>
      <c r="D90" s="43">
        <f t="shared" si="2"/>
        <v>-2992</v>
      </c>
      <c r="E90" s="44">
        <f t="shared" si="3"/>
        <v>0.581187010078387</v>
      </c>
      <c r="F90" s="19" t="s">
        <v>131</v>
      </c>
    </row>
    <row r="91" customHeight="1" spans="1:6">
      <c r="A91" s="10">
        <v>44682</v>
      </c>
      <c r="B91" s="42">
        <v>4281.8</v>
      </c>
      <c r="C91" s="42">
        <v>7367.2</v>
      </c>
      <c r="D91" s="43">
        <f t="shared" si="2"/>
        <v>-3085.4</v>
      </c>
      <c r="E91" s="57">
        <f t="shared" si="3"/>
        <v>0.581197741339994</v>
      </c>
      <c r="F91" s="14" t="s">
        <v>131</v>
      </c>
    </row>
    <row r="92" customHeight="1" spans="1:6">
      <c r="A92" s="15">
        <v>44713</v>
      </c>
      <c r="B92" s="45">
        <v>4368.2</v>
      </c>
      <c r="C92" s="45">
        <v>7516.1</v>
      </c>
      <c r="D92" s="43">
        <f t="shared" si="2"/>
        <v>-3147.9</v>
      </c>
      <c r="E92" s="44">
        <f t="shared" si="3"/>
        <v>0.581179068932026</v>
      </c>
      <c r="F92" s="19" t="s">
        <v>131</v>
      </c>
    </row>
    <row r="93" customHeight="1" spans="1:6">
      <c r="A93" s="10">
        <v>44743</v>
      </c>
      <c r="B93" s="42">
        <v>4411.5</v>
      </c>
      <c r="C93" s="42">
        <v>7590.5</v>
      </c>
      <c r="D93" s="43">
        <f t="shared" si="2"/>
        <v>-3179</v>
      </c>
      <c r="E93" s="44">
        <f t="shared" si="3"/>
        <v>0.581187010078387</v>
      </c>
      <c r="F93" s="14" t="s">
        <v>131</v>
      </c>
    </row>
    <row r="94" customHeight="1" spans="1:6">
      <c r="A94" s="15">
        <v>44774</v>
      </c>
      <c r="B94" s="58">
        <v>4454.8</v>
      </c>
      <c r="C94" s="45">
        <v>7664.9</v>
      </c>
      <c r="D94" s="43">
        <f t="shared" si="2"/>
        <v>-3210.1</v>
      </c>
      <c r="E94" s="44">
        <f t="shared" si="3"/>
        <v>0.581194797061932</v>
      </c>
      <c r="F94" s="19" t="s">
        <v>131</v>
      </c>
    </row>
    <row r="95" customHeight="1" spans="1:6">
      <c r="A95" s="10">
        <v>44805</v>
      </c>
      <c r="B95" s="42">
        <v>4411.5</v>
      </c>
      <c r="C95" s="42">
        <v>7590.5</v>
      </c>
      <c r="D95" s="43">
        <f t="shared" si="2"/>
        <v>-3179</v>
      </c>
      <c r="E95" s="44">
        <f t="shared" si="3"/>
        <v>0.581187010078387</v>
      </c>
      <c r="F95" s="14" t="s">
        <v>131</v>
      </c>
    </row>
    <row r="96" customHeight="1" spans="1:6">
      <c r="A96" s="15">
        <v>44835</v>
      </c>
      <c r="B96" s="45">
        <v>4368.2</v>
      </c>
      <c r="C96" s="45">
        <v>7516.1</v>
      </c>
      <c r="D96" s="43">
        <f t="shared" si="2"/>
        <v>-3147.9</v>
      </c>
      <c r="E96" s="44">
        <f t="shared" si="3"/>
        <v>0.581179068932026</v>
      </c>
      <c r="F96" s="19" t="s">
        <v>131</v>
      </c>
    </row>
    <row r="97" customHeight="1" spans="1:6">
      <c r="A97" s="10">
        <v>44866</v>
      </c>
      <c r="B97" s="42">
        <v>4368.2</v>
      </c>
      <c r="C97" s="42">
        <v>7516.1</v>
      </c>
      <c r="D97" s="43">
        <f t="shared" si="2"/>
        <v>-3147.9</v>
      </c>
      <c r="E97" s="44">
        <f t="shared" si="3"/>
        <v>0.581179068932026</v>
      </c>
      <c r="F97" s="14" t="s">
        <v>131</v>
      </c>
    </row>
    <row r="98" customHeight="1" spans="1:6">
      <c r="A98" s="15">
        <v>44896</v>
      </c>
      <c r="B98" s="45">
        <v>4368.3</v>
      </c>
      <c r="C98" s="45">
        <v>7516.1</v>
      </c>
      <c r="D98" s="43">
        <f t="shared" si="2"/>
        <v>-3147.8</v>
      </c>
      <c r="E98" s="44">
        <f t="shared" si="3"/>
        <v>0.581192373704448</v>
      </c>
      <c r="F98" s="19" t="s">
        <v>131</v>
      </c>
    </row>
    <row r="99" customHeight="1" spans="1:6">
      <c r="A99" s="10">
        <v>44927</v>
      </c>
      <c r="B99" s="42">
        <v>3621</v>
      </c>
      <c r="C99" s="42">
        <v>7157</v>
      </c>
      <c r="D99" s="43">
        <f t="shared" si="2"/>
        <v>-3536</v>
      </c>
      <c r="E99" s="44">
        <f t="shared" si="3"/>
        <v>0.505938242280285</v>
      </c>
      <c r="F99" s="14" t="s">
        <v>131</v>
      </c>
    </row>
    <row r="100" customHeight="1" spans="1:6">
      <c r="A100" s="15">
        <v>44958</v>
      </c>
      <c r="B100" s="45">
        <v>3443.5</v>
      </c>
      <c r="C100" s="45">
        <v>6806.2</v>
      </c>
      <c r="D100" s="43">
        <f t="shared" si="2"/>
        <v>-3362.7</v>
      </c>
      <c r="E100" s="44">
        <f t="shared" si="3"/>
        <v>0.50593576445006</v>
      </c>
      <c r="F100" s="19" t="s">
        <v>131</v>
      </c>
    </row>
    <row r="101" customHeight="1" spans="1:6">
      <c r="A101" s="10">
        <v>44986</v>
      </c>
      <c r="B101" s="42">
        <v>3372.5</v>
      </c>
      <c r="C101" s="42">
        <v>6665.8</v>
      </c>
      <c r="D101" s="43">
        <f t="shared" si="2"/>
        <v>-3293.3</v>
      </c>
      <c r="E101" s="44">
        <f t="shared" si="3"/>
        <v>0.505940772300399</v>
      </c>
      <c r="F101" s="14" t="s">
        <v>131</v>
      </c>
    </row>
    <row r="102" customHeight="1" spans="1:6">
      <c r="A102" s="15">
        <v>45017</v>
      </c>
      <c r="B102" s="45">
        <v>3408</v>
      </c>
      <c r="C102" s="45">
        <v>6736</v>
      </c>
      <c r="D102" s="43">
        <f t="shared" si="2"/>
        <v>-3328</v>
      </c>
      <c r="E102" s="44">
        <f t="shared" si="3"/>
        <v>0.505938242280285</v>
      </c>
      <c r="F102" s="19" t="s">
        <v>131</v>
      </c>
    </row>
    <row r="103" customHeight="1" spans="1:6">
      <c r="A103" s="10">
        <v>45047</v>
      </c>
      <c r="B103" s="42">
        <v>3514.5</v>
      </c>
      <c r="C103" s="42">
        <v>6946.5</v>
      </c>
      <c r="D103" s="43">
        <f t="shared" si="2"/>
        <v>-3432</v>
      </c>
      <c r="E103" s="44">
        <f t="shared" si="3"/>
        <v>0.505938242280285</v>
      </c>
      <c r="F103" s="14" t="s">
        <v>131</v>
      </c>
    </row>
    <row r="104" customHeight="1" spans="1:6">
      <c r="A104" s="15">
        <v>45078</v>
      </c>
      <c r="B104" s="45">
        <v>3585.5</v>
      </c>
      <c r="C104" s="45">
        <v>7086.8</v>
      </c>
      <c r="D104" s="43">
        <f t="shared" si="2"/>
        <v>-3501.3</v>
      </c>
      <c r="E104" s="44">
        <f t="shared" si="3"/>
        <v>0.505940622001467</v>
      </c>
      <c r="F104" s="19" t="s">
        <v>131</v>
      </c>
    </row>
    <row r="105" customHeight="1" spans="1:6">
      <c r="A105" s="10">
        <v>45108</v>
      </c>
      <c r="B105" s="42">
        <v>3621</v>
      </c>
      <c r="C105" s="42">
        <v>7157</v>
      </c>
      <c r="D105" s="43">
        <f t="shared" si="2"/>
        <v>-3536</v>
      </c>
      <c r="E105" s="44">
        <f t="shared" si="3"/>
        <v>0.505938242280285</v>
      </c>
      <c r="F105" s="14" t="s">
        <v>131</v>
      </c>
    </row>
    <row r="106" customHeight="1" spans="1:6">
      <c r="A106" s="15">
        <v>45139</v>
      </c>
      <c r="B106" s="45">
        <v>3656.5</v>
      </c>
      <c r="C106" s="45">
        <v>7227.2</v>
      </c>
      <c r="D106" s="43">
        <f t="shared" si="2"/>
        <v>-3570.7</v>
      </c>
      <c r="E106" s="44">
        <f t="shared" si="3"/>
        <v>0.505935908789019</v>
      </c>
      <c r="F106" s="19" t="s">
        <v>131</v>
      </c>
    </row>
    <row r="107" customHeight="1" spans="1:6">
      <c r="A107" s="10">
        <v>45170</v>
      </c>
      <c r="B107" s="42">
        <v>3621</v>
      </c>
      <c r="C107" s="42">
        <v>7157</v>
      </c>
      <c r="D107" s="43">
        <f t="shared" si="2"/>
        <v>-3536</v>
      </c>
      <c r="E107" s="44">
        <f t="shared" si="3"/>
        <v>0.505938242280285</v>
      </c>
      <c r="F107" s="14" t="s">
        <v>131</v>
      </c>
    </row>
    <row r="108" customHeight="1" spans="1:6">
      <c r="A108" s="15">
        <v>45200</v>
      </c>
      <c r="B108" s="45">
        <v>3585.5</v>
      </c>
      <c r="C108" s="45">
        <v>7086.8</v>
      </c>
      <c r="D108" s="43">
        <f t="shared" si="2"/>
        <v>-3501.3</v>
      </c>
      <c r="E108" s="44">
        <f t="shared" si="3"/>
        <v>0.505940622001467</v>
      </c>
      <c r="F108" s="19" t="s">
        <v>131</v>
      </c>
    </row>
    <row r="109" customHeight="1" spans="1:6">
      <c r="A109" s="10">
        <v>45231</v>
      </c>
      <c r="B109" s="42">
        <v>3585.5</v>
      </c>
      <c r="C109" s="42">
        <v>7086.8</v>
      </c>
      <c r="D109" s="43">
        <f t="shared" si="2"/>
        <v>-3501.3</v>
      </c>
      <c r="E109" s="44">
        <f t="shared" si="3"/>
        <v>0.505940622001467</v>
      </c>
      <c r="F109" s="14" t="s">
        <v>131</v>
      </c>
    </row>
    <row r="110" customHeight="1" spans="1:6">
      <c r="A110" s="15">
        <v>45261</v>
      </c>
      <c r="B110" s="45">
        <v>3585.5</v>
      </c>
      <c r="C110" s="45">
        <v>7086.9</v>
      </c>
      <c r="D110" s="43">
        <f t="shared" si="2"/>
        <v>-3501.4</v>
      </c>
      <c r="E110" s="44">
        <f t="shared" si="3"/>
        <v>0.505933482905078</v>
      </c>
      <c r="F110" s="19" t="s">
        <v>131</v>
      </c>
    </row>
    <row r="111" customHeight="1" spans="1:6">
      <c r="A111" s="10">
        <v>45292</v>
      </c>
      <c r="B111" s="42">
        <v>3850.5</v>
      </c>
      <c r="C111" s="42">
        <v>8100.5</v>
      </c>
      <c r="D111" s="43">
        <f t="shared" si="2"/>
        <v>-4250</v>
      </c>
      <c r="E111" s="44">
        <f t="shared" si="3"/>
        <v>0.475341028331584</v>
      </c>
      <c r="F111" s="14" t="s">
        <v>131</v>
      </c>
    </row>
    <row r="112" customHeight="1" spans="1:6">
      <c r="A112" s="15">
        <v>45323</v>
      </c>
      <c r="B112" s="45">
        <v>3661.8</v>
      </c>
      <c r="C112" s="45">
        <v>7703.4</v>
      </c>
      <c r="D112" s="43">
        <f t="shared" si="2"/>
        <v>-4041.6</v>
      </c>
      <c r="E112" s="44">
        <f t="shared" si="3"/>
        <v>0.475348547394657</v>
      </c>
      <c r="F112" s="19" t="s">
        <v>131</v>
      </c>
    </row>
    <row r="113" customHeight="1" spans="1:7">
      <c r="A113" s="10">
        <v>45352</v>
      </c>
      <c r="B113" s="42">
        <v>3586.2</v>
      </c>
      <c r="C113" s="42">
        <v>7544.6</v>
      </c>
      <c r="D113" s="43">
        <f t="shared" si="2"/>
        <v>-3958.4</v>
      </c>
      <c r="E113" s="44">
        <f t="shared" si="3"/>
        <v>0.475333351006017</v>
      </c>
      <c r="F113" s="14" t="s">
        <v>131</v>
      </c>
    </row>
    <row r="114" customHeight="1" spans="1:7">
      <c r="A114" s="15">
        <v>45383</v>
      </c>
      <c r="B114" s="45">
        <v>3624</v>
      </c>
      <c r="C114" s="45">
        <v>7624</v>
      </c>
      <c r="D114" s="43">
        <f t="shared" si="2"/>
        <v>-4000</v>
      </c>
      <c r="E114" s="44">
        <f t="shared" si="3"/>
        <v>0.475341028331584</v>
      </c>
      <c r="F114" s="19" t="s">
        <v>131</v>
      </c>
    </row>
    <row r="115" customHeight="1" spans="1:7">
      <c r="A115" s="10">
        <v>45413</v>
      </c>
      <c r="B115" s="42">
        <v>3737.2</v>
      </c>
      <c r="C115" s="42">
        <v>7862.2</v>
      </c>
      <c r="D115" s="43">
        <f t="shared" si="2"/>
        <v>-4125</v>
      </c>
      <c r="E115" s="44">
        <f t="shared" si="3"/>
        <v>0.475337691740225</v>
      </c>
      <c r="F115" s="14" t="s">
        <v>131</v>
      </c>
    </row>
    <row r="116" customHeight="1" spans="1:7">
      <c r="A116" s="15">
        <v>45444</v>
      </c>
      <c r="B116" s="45">
        <v>3812.8</v>
      </c>
      <c r="C116" s="45">
        <v>8021.1</v>
      </c>
      <c r="D116" s="43">
        <f t="shared" si="2"/>
        <v>-4208.3</v>
      </c>
      <c r="E116" s="44">
        <f t="shared" si="3"/>
        <v>0.475346274201793</v>
      </c>
      <c r="F116" s="19" t="s">
        <v>131</v>
      </c>
    </row>
    <row r="117" customHeight="1" spans="1:7">
      <c r="A117" s="10">
        <v>45474</v>
      </c>
      <c r="B117" s="42">
        <v>3850.5</v>
      </c>
      <c r="C117" s="42">
        <v>8100.5</v>
      </c>
      <c r="D117" s="43">
        <f t="shared" si="2"/>
        <v>-4250</v>
      </c>
      <c r="E117" s="44">
        <f t="shared" si="3"/>
        <v>0.475341028331584</v>
      </c>
      <c r="F117" s="14" t="s">
        <v>131</v>
      </c>
    </row>
    <row r="118" customHeight="1" spans="1:7">
      <c r="A118" s="15">
        <v>45505</v>
      </c>
      <c r="B118" s="45">
        <v>3888.2</v>
      </c>
      <c r="C118" s="58">
        <v>8179.9</v>
      </c>
      <c r="D118" s="59">
        <f t="shared" si="2"/>
        <v>-4291.7</v>
      </c>
      <c r="E118" s="44">
        <f t="shared" si="3"/>
        <v>0.475335884301764</v>
      </c>
      <c r="F118" s="19" t="s">
        <v>131</v>
      </c>
    </row>
    <row r="119" customHeight="1" spans="1:7">
      <c r="A119" s="10">
        <v>45536</v>
      </c>
      <c r="B119" s="42">
        <v>3850.5</v>
      </c>
      <c r="C119" s="42">
        <v>8100.5</v>
      </c>
      <c r="D119" s="43">
        <f t="shared" si="2"/>
        <v>-4250</v>
      </c>
      <c r="E119" s="44">
        <f t="shared" si="3"/>
        <v>0.475341028331584</v>
      </c>
      <c r="F119" s="14" t="s">
        <v>131</v>
      </c>
    </row>
    <row r="120" customHeight="1" spans="1:7">
      <c r="A120" s="15">
        <v>45566</v>
      </c>
      <c r="B120" s="45">
        <v>3812.8</v>
      </c>
      <c r="C120" s="45">
        <v>8021.1</v>
      </c>
      <c r="D120" s="43">
        <f t="shared" si="2"/>
        <v>-4208.3</v>
      </c>
      <c r="E120" s="44">
        <f t="shared" si="3"/>
        <v>0.475346274201793</v>
      </c>
      <c r="F120" s="19" t="s">
        <v>131</v>
      </c>
    </row>
    <row r="121" customHeight="1" spans="1:7">
      <c r="A121" s="10">
        <v>45597</v>
      </c>
      <c r="B121" s="42">
        <v>3812.8</v>
      </c>
      <c r="C121" s="42">
        <v>8021.1</v>
      </c>
      <c r="D121" s="43">
        <f t="shared" si="2"/>
        <v>-4208.3</v>
      </c>
      <c r="E121" s="44">
        <f t="shared" si="3"/>
        <v>0.475346274201793</v>
      </c>
      <c r="F121" s="14" t="s">
        <v>131</v>
      </c>
    </row>
    <row r="122" customHeight="1" spans="1:7">
      <c r="A122" s="22">
        <v>45627</v>
      </c>
      <c r="B122" s="48">
        <v>3812.7</v>
      </c>
      <c r="C122" s="48">
        <v>8021.1</v>
      </c>
      <c r="D122" s="49">
        <f t="shared" si="2"/>
        <v>-4208.4</v>
      </c>
      <c r="E122" s="50">
        <f t="shared" si="3"/>
        <v>0.475333807083816</v>
      </c>
      <c r="F122" s="26" t="s">
        <v>131</v>
      </c>
    </row>
    <row r="123" customHeight="1" spans="1:7">
      <c r="A123" s="60"/>
      <c r="B123" s="60"/>
      <c r="C123" s="60"/>
      <c r="D123" s="60"/>
      <c r="E123" s="60"/>
      <c r="F123" s="60"/>
      <c r="G123" s="60"/>
    </row>
    <row r="124" spans="1:7">
      <c r="B124" s="61">
        <f>AVERAGE(B3:B122)</f>
        <v>2545.83333333333</v>
      </c>
      <c r="C124" s="61">
        <f t="shared" ref="C124:E124" si="4">AVERAGE(C3:C122)</f>
        <v>5950.83333333333</v>
      </c>
      <c r="D124" s="61">
        <f t="shared" si="4"/>
        <v>-3405</v>
      </c>
      <c r="E124" s="61">
        <f t="shared" si="4"/>
        <v>0.415051568690413</v>
      </c>
    </row>
    <row r="125" spans="1:7">
      <c r="B125" s="61">
        <f>MAX(B3:B122)</f>
        <v>4454.8</v>
      </c>
      <c r="C125" s="61">
        <f t="shared" ref="C125:E125" si="5">MAX(C3:C122)</f>
        <v>8179.9</v>
      </c>
      <c r="D125" s="61">
        <f t="shared" si="5"/>
        <v>-2707.5</v>
      </c>
      <c r="E125" s="61">
        <f t="shared" si="5"/>
        <v>0.581197741339994</v>
      </c>
    </row>
    <row r="126" spans="1:7">
      <c r="B126" s="61">
        <f>MIN(B3:B122)</f>
        <v>1290.4</v>
      </c>
      <c r="C126" s="61">
        <f t="shared" ref="C126:E126" si="6">MIN(C3:C122)</f>
        <v>4480.8</v>
      </c>
      <c r="D126" s="61">
        <f t="shared" si="6"/>
        <v>-4291.7</v>
      </c>
      <c r="E126" s="61">
        <f t="shared" si="6"/>
        <v>0.278526775627024</v>
      </c>
    </row>
    <row r="127" ht="15.75"/>
    <row r="128" ht="15.75" spans="1:7">
      <c r="D128" s="62">
        <f>SUM(D2:D122)</f>
        <v>-408600</v>
      </c>
    </row>
    <row r="129" ht="15.75" spans="4:4">
      <c r="D129" s="62">
        <f>D128/1000</f>
        <v>-408.6</v>
      </c>
    </row>
  </sheetData>
  <mergeCells count="2">
    <mergeCell ref="A1:F1"/>
    <mergeCell ref="A123:G123"/>
  </mergeCells>
  <conditionalFormatting sqref="D3:D122">
    <cfRule type="cellIs" dxfId="15" priority="1" operator="greaterThan">
      <formula>0</formula>
    </cfRule>
    <cfRule type="cellIs" dxfId="16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8"/>
  <sheetViews>
    <sheetView showGridLines="0" zoomScale="110" zoomScaleNormal="110" workbookViewId="0">
      <pane ySplit="2" topLeftCell="A3" activePane="bottomLeft" state="frozen"/>
      <selection/>
      <selection pane="bottomLeft" activeCell="C130" sqref="C130"/>
    </sheetView>
  </sheetViews>
  <sheetFormatPr defaultColWidth="8.71428571428571" defaultRowHeight="15" outlineLevelCol="7"/>
  <cols>
    <col min="1" max="1" width="12" customWidth="1"/>
    <col min="2" max="3" width="18" customWidth="1"/>
    <col min="4" max="4" width="22" customWidth="1"/>
    <col min="5" max="5" width="18" customWidth="1"/>
    <col min="6" max="6" width="14" customWidth="1"/>
  </cols>
  <sheetData>
    <row r="1" ht="27.75" customHeight="1" spans="1:6">
      <c r="A1" s="1" t="s">
        <v>141</v>
      </c>
      <c r="B1" s="1"/>
      <c r="C1" s="1"/>
      <c r="D1" s="1"/>
      <c r="E1" s="1"/>
      <c r="F1" s="1"/>
    </row>
    <row r="2" ht="36" customHeight="1" spans="1:6">
      <c r="A2" s="7" t="s">
        <v>16</v>
      </c>
      <c r="B2" s="8" t="s">
        <v>46</v>
      </c>
      <c r="C2" s="8" t="s">
        <v>47</v>
      </c>
      <c r="D2" s="8" t="s">
        <v>48</v>
      </c>
      <c r="E2" s="8" t="s">
        <v>142</v>
      </c>
      <c r="F2" s="9" t="s">
        <v>129</v>
      </c>
    </row>
    <row r="3" customHeight="1" spans="1:6">
      <c r="A3" s="10">
        <v>42005</v>
      </c>
      <c r="B3" s="11">
        <v>7.63</v>
      </c>
      <c r="C3" s="12">
        <v>10.1</v>
      </c>
      <c r="D3" s="13">
        <v>15.3</v>
      </c>
      <c r="E3" s="13">
        <v>47.8</v>
      </c>
      <c r="F3" s="14" t="s">
        <v>132</v>
      </c>
    </row>
    <row r="4" customHeight="1" spans="1:6">
      <c r="A4" s="15">
        <v>42036</v>
      </c>
      <c r="B4" s="16">
        <v>7.63</v>
      </c>
      <c r="C4" s="17">
        <v>11.2</v>
      </c>
      <c r="D4" s="18">
        <v>15.1</v>
      </c>
      <c r="E4" s="18">
        <v>57.9</v>
      </c>
      <c r="F4" s="19" t="s">
        <v>132</v>
      </c>
    </row>
    <row r="5" customHeight="1" spans="1:6">
      <c r="A5" s="10">
        <v>42064</v>
      </c>
      <c r="B5" s="11">
        <v>7.62</v>
      </c>
      <c r="C5" s="12">
        <v>11.8</v>
      </c>
      <c r="D5" s="13">
        <v>20.1</v>
      </c>
      <c r="E5" s="13">
        <v>55.9</v>
      </c>
      <c r="F5" s="14" t="s">
        <v>132</v>
      </c>
    </row>
    <row r="6" customHeight="1" spans="1:6">
      <c r="A6" s="15">
        <v>42095</v>
      </c>
      <c r="B6" s="16">
        <v>7.62</v>
      </c>
      <c r="C6" s="17">
        <v>11.1</v>
      </c>
      <c r="D6" s="18">
        <v>20.5</v>
      </c>
      <c r="E6" s="18">
        <v>59.6</v>
      </c>
      <c r="F6" s="19" t="s">
        <v>132</v>
      </c>
    </row>
    <row r="7" customHeight="1" spans="1:6">
      <c r="A7" s="10">
        <v>42125</v>
      </c>
      <c r="B7" s="11">
        <v>7.62</v>
      </c>
      <c r="C7" s="12">
        <v>11.5</v>
      </c>
      <c r="D7" s="13">
        <v>20.5</v>
      </c>
      <c r="E7" s="13">
        <v>64.2</v>
      </c>
      <c r="F7" s="14" t="s">
        <v>132</v>
      </c>
    </row>
    <row r="8" customHeight="1" spans="1:6">
      <c r="A8" s="15">
        <v>42156</v>
      </c>
      <c r="B8" s="16">
        <v>7.62</v>
      </c>
      <c r="C8" s="17">
        <v>11.4</v>
      </c>
      <c r="D8" s="18">
        <v>20.1</v>
      </c>
      <c r="E8" s="18">
        <v>62</v>
      </c>
      <c r="F8" s="19" t="s">
        <v>132</v>
      </c>
    </row>
    <row r="9" customHeight="1" spans="1:6">
      <c r="A9" s="10">
        <v>42186</v>
      </c>
      <c r="B9" s="11">
        <v>7.83</v>
      </c>
      <c r="C9" s="12">
        <v>11.1</v>
      </c>
      <c r="D9" s="13">
        <v>20.1</v>
      </c>
      <c r="E9" s="13">
        <v>56.6</v>
      </c>
      <c r="F9" s="14" t="s">
        <v>132</v>
      </c>
    </row>
    <row r="10" customHeight="1" spans="1:6">
      <c r="A10" s="15">
        <v>42217</v>
      </c>
      <c r="B10" s="16">
        <v>7.83</v>
      </c>
      <c r="C10" s="17">
        <v>9.8</v>
      </c>
      <c r="D10" s="18">
        <v>16.4</v>
      </c>
      <c r="E10" s="18">
        <v>46.6</v>
      </c>
      <c r="F10" s="19" t="s">
        <v>132</v>
      </c>
    </row>
    <row r="11" customHeight="1" spans="1:6">
      <c r="A11" s="10">
        <v>42248</v>
      </c>
      <c r="B11" s="11">
        <v>7.88</v>
      </c>
      <c r="C11" s="12">
        <v>9.2</v>
      </c>
      <c r="D11" s="13">
        <v>16.3</v>
      </c>
      <c r="E11" s="13">
        <v>47.5</v>
      </c>
      <c r="F11" s="14" t="s">
        <v>132</v>
      </c>
    </row>
    <row r="12" customHeight="1" spans="1:6">
      <c r="A12" s="15">
        <v>42278</v>
      </c>
      <c r="B12" s="16">
        <v>7.91</v>
      </c>
      <c r="C12" s="17">
        <v>9.1</v>
      </c>
      <c r="D12" s="18">
        <v>16.4</v>
      </c>
      <c r="E12" s="18">
        <v>48.4</v>
      </c>
      <c r="F12" s="19" t="s">
        <v>132</v>
      </c>
    </row>
    <row r="13" customHeight="1" spans="1:6">
      <c r="A13" s="10">
        <v>42309</v>
      </c>
      <c r="B13" s="11">
        <v>7.93</v>
      </c>
      <c r="C13" s="12">
        <v>9.3</v>
      </c>
      <c r="D13" s="13">
        <v>15.9</v>
      </c>
      <c r="E13" s="13">
        <v>44.4</v>
      </c>
      <c r="F13" s="14" t="s">
        <v>132</v>
      </c>
    </row>
    <row r="14" customHeight="1" spans="1:6">
      <c r="A14" s="15">
        <v>42339</v>
      </c>
      <c r="B14" s="16">
        <v>7.83</v>
      </c>
      <c r="C14" s="17">
        <v>11</v>
      </c>
      <c r="D14" s="18">
        <v>15.5</v>
      </c>
      <c r="E14" s="18">
        <v>38</v>
      </c>
      <c r="F14" s="19" t="s">
        <v>132</v>
      </c>
    </row>
    <row r="15" customHeight="1" spans="1:6">
      <c r="A15" s="10">
        <v>42370</v>
      </c>
      <c r="B15" s="11">
        <v>7.83</v>
      </c>
      <c r="C15" s="12">
        <v>10.1</v>
      </c>
      <c r="D15" s="13">
        <v>14.6</v>
      </c>
      <c r="E15" s="13">
        <v>30.7</v>
      </c>
      <c r="F15" s="14" t="s">
        <v>132</v>
      </c>
    </row>
    <row r="16" customHeight="1" spans="1:6">
      <c r="A16" s="15">
        <v>42401</v>
      </c>
      <c r="B16" s="16">
        <v>8.03</v>
      </c>
      <c r="C16" s="17">
        <v>9.1</v>
      </c>
      <c r="D16" s="18">
        <v>14.2</v>
      </c>
      <c r="E16" s="18">
        <v>32.2</v>
      </c>
      <c r="F16" s="19" t="s">
        <v>132</v>
      </c>
    </row>
    <row r="17" customHeight="1" spans="1:8">
      <c r="A17" s="10">
        <v>42430</v>
      </c>
      <c r="B17" s="11">
        <v>8.88</v>
      </c>
      <c r="C17" s="12">
        <v>9</v>
      </c>
      <c r="D17" s="13">
        <v>15</v>
      </c>
      <c r="E17" s="13">
        <v>38</v>
      </c>
      <c r="F17" s="14" t="s">
        <v>132</v>
      </c>
      <c r="H17" s="20">
        <f>AVERAGE(B3:B24)</f>
        <v>8.175</v>
      </c>
    </row>
    <row r="18" customHeight="1" spans="1:8">
      <c r="A18" s="15">
        <v>42461</v>
      </c>
      <c r="B18" s="16">
        <v>8.88</v>
      </c>
      <c r="C18" s="17">
        <v>10.3</v>
      </c>
      <c r="D18" s="18">
        <v>17.1</v>
      </c>
      <c r="E18" s="18">
        <v>41.8</v>
      </c>
      <c r="F18" s="19" t="s">
        <v>132</v>
      </c>
      <c r="H18" s="20">
        <f>AVERAGE(B25:B122)</f>
        <v>22.3883673469388</v>
      </c>
    </row>
    <row r="19" customHeight="1" spans="1:8">
      <c r="A19" s="10">
        <v>42491</v>
      </c>
      <c r="B19" s="11">
        <v>8.88</v>
      </c>
      <c r="C19" s="12">
        <v>12.3</v>
      </c>
      <c r="D19" s="13">
        <v>17.5</v>
      </c>
      <c r="E19" s="13">
        <v>47.6</v>
      </c>
      <c r="F19" s="14" t="s">
        <v>132</v>
      </c>
      <c r="H19" s="21">
        <f>(H18-H17)/H17</f>
        <v>1.73863820757661</v>
      </c>
    </row>
    <row r="20" customHeight="1" spans="1:8">
      <c r="A20" s="15">
        <v>42522</v>
      </c>
      <c r="B20" s="16">
        <v>8.88</v>
      </c>
      <c r="C20" s="17">
        <v>14.8</v>
      </c>
      <c r="D20" s="18">
        <v>15.5</v>
      </c>
      <c r="E20" s="18">
        <v>48</v>
      </c>
      <c r="F20" s="19" t="s">
        <v>132</v>
      </c>
    </row>
    <row r="21" customHeight="1" spans="1:8">
      <c r="A21" s="10">
        <v>42552</v>
      </c>
      <c r="B21" s="11">
        <v>8.88</v>
      </c>
      <c r="C21" s="12">
        <v>14</v>
      </c>
      <c r="D21" s="13">
        <v>15.5</v>
      </c>
      <c r="E21" s="13">
        <v>44.9</v>
      </c>
      <c r="F21" s="14" t="s">
        <v>132</v>
      </c>
    </row>
    <row r="22" customHeight="1" spans="1:8">
      <c r="A22" s="15">
        <v>42583</v>
      </c>
      <c r="B22" s="16">
        <v>8.88</v>
      </c>
      <c r="C22" s="17">
        <v>15.5</v>
      </c>
      <c r="D22" s="18">
        <v>19.6</v>
      </c>
      <c r="E22" s="18">
        <v>47</v>
      </c>
      <c r="F22" s="19" t="s">
        <v>132</v>
      </c>
    </row>
    <row r="23" customHeight="1" spans="1:8">
      <c r="A23" s="10">
        <v>42614</v>
      </c>
      <c r="B23" s="11">
        <v>8.88</v>
      </c>
      <c r="C23" s="12">
        <v>14.1</v>
      </c>
      <c r="D23" s="13">
        <v>19.6</v>
      </c>
      <c r="E23" s="13">
        <v>46.9</v>
      </c>
      <c r="F23" s="14" t="s">
        <v>132</v>
      </c>
    </row>
    <row r="24" customHeight="1" spans="1:8">
      <c r="A24" s="22">
        <v>42644</v>
      </c>
      <c r="B24" s="23">
        <v>8.88</v>
      </c>
      <c r="C24" s="24">
        <v>13.6</v>
      </c>
      <c r="D24" s="25">
        <v>19.6</v>
      </c>
      <c r="E24" s="25">
        <v>51.4</v>
      </c>
      <c r="F24" s="26" t="s">
        <v>132</v>
      </c>
    </row>
    <row r="25" customHeight="1" spans="1:8">
      <c r="A25" s="27">
        <v>42675</v>
      </c>
      <c r="B25" s="28">
        <v>17.7</v>
      </c>
      <c r="C25" s="29">
        <v>19.4</v>
      </c>
      <c r="D25" s="30">
        <v>23.1</v>
      </c>
      <c r="E25" s="30">
        <v>45.9</v>
      </c>
      <c r="F25" s="31" t="s">
        <v>132</v>
      </c>
    </row>
    <row r="26" customHeight="1" spans="1:8">
      <c r="A26" s="32">
        <v>42705</v>
      </c>
      <c r="B26" s="33">
        <v>18.07</v>
      </c>
      <c r="C26" s="34">
        <v>23.3</v>
      </c>
      <c r="D26" s="35">
        <v>26.4</v>
      </c>
      <c r="E26" s="35">
        <v>54.9</v>
      </c>
      <c r="F26" s="36" t="s">
        <v>132</v>
      </c>
    </row>
    <row r="27" customHeight="1" spans="1:8">
      <c r="A27" s="10">
        <v>42736</v>
      </c>
      <c r="B27" s="11">
        <v>18.1</v>
      </c>
      <c r="C27" s="12">
        <v>28.1</v>
      </c>
      <c r="D27" s="13">
        <v>26.3</v>
      </c>
      <c r="E27" s="13">
        <v>55.6</v>
      </c>
      <c r="F27" s="14" t="s">
        <v>132</v>
      </c>
    </row>
    <row r="28" customHeight="1" spans="1:8">
      <c r="A28" s="15">
        <v>42767</v>
      </c>
      <c r="B28" s="16">
        <v>18.1</v>
      </c>
      <c r="C28" s="17">
        <v>30.9</v>
      </c>
      <c r="D28" s="18">
        <v>26.5</v>
      </c>
      <c r="E28" s="18">
        <v>55.7</v>
      </c>
      <c r="F28" s="19" t="s">
        <v>132</v>
      </c>
    </row>
    <row r="29" customHeight="1" spans="1:8">
      <c r="A29" s="10">
        <v>42795</v>
      </c>
      <c r="B29" s="11">
        <v>18.09</v>
      </c>
      <c r="C29" s="12">
        <v>30.9</v>
      </c>
      <c r="D29" s="13">
        <v>28.6</v>
      </c>
      <c r="E29" s="13">
        <v>52.6</v>
      </c>
      <c r="F29" s="14" t="s">
        <v>132</v>
      </c>
    </row>
    <row r="30" customHeight="1" spans="1:8">
      <c r="A30" s="15">
        <v>42826</v>
      </c>
      <c r="B30" s="16">
        <v>18.05</v>
      </c>
      <c r="C30" s="17">
        <v>31.5</v>
      </c>
      <c r="D30" s="18">
        <v>28.5</v>
      </c>
      <c r="E30" s="18">
        <v>53.2</v>
      </c>
      <c r="F30" s="19" t="s">
        <v>132</v>
      </c>
    </row>
    <row r="31" customHeight="1" spans="1:8">
      <c r="A31" s="10">
        <v>42856</v>
      </c>
      <c r="B31" s="11">
        <v>18.03</v>
      </c>
      <c r="C31" s="12">
        <v>29.7</v>
      </c>
      <c r="D31" s="13">
        <v>31.1</v>
      </c>
      <c r="E31" s="13">
        <v>51</v>
      </c>
      <c r="F31" s="14" t="s">
        <v>132</v>
      </c>
    </row>
    <row r="32" customHeight="1" spans="1:8">
      <c r="A32" s="15">
        <v>42887</v>
      </c>
      <c r="B32" s="16">
        <v>18.02</v>
      </c>
      <c r="C32" s="17">
        <v>29.8</v>
      </c>
      <c r="D32" s="18">
        <v>31.6</v>
      </c>
      <c r="E32" s="18">
        <v>47.9</v>
      </c>
      <c r="F32" s="19" t="s">
        <v>132</v>
      </c>
    </row>
    <row r="33" customHeight="1" spans="1:6">
      <c r="A33" s="10">
        <v>42917</v>
      </c>
      <c r="B33" s="11">
        <v>17.9</v>
      </c>
      <c r="C33" s="12">
        <v>33</v>
      </c>
      <c r="D33" s="13">
        <v>36</v>
      </c>
      <c r="E33" s="13">
        <v>48.8</v>
      </c>
      <c r="F33" s="14" t="s">
        <v>132</v>
      </c>
    </row>
    <row r="34" customHeight="1" spans="1:6">
      <c r="A34" s="15">
        <v>42948</v>
      </c>
      <c r="B34" s="16">
        <v>17.8</v>
      </c>
      <c r="C34" s="17">
        <v>31.9</v>
      </c>
      <c r="D34" s="18">
        <v>36</v>
      </c>
      <c r="E34" s="18">
        <v>51.8</v>
      </c>
      <c r="F34" s="19" t="s">
        <v>132</v>
      </c>
    </row>
    <row r="35" customHeight="1" spans="1:6">
      <c r="A35" s="10">
        <v>42979</v>
      </c>
      <c r="B35" s="11">
        <v>17.72</v>
      </c>
      <c r="C35" s="12">
        <v>21.9</v>
      </c>
      <c r="D35" s="13">
        <v>36.4</v>
      </c>
      <c r="E35" s="13">
        <v>55.5</v>
      </c>
      <c r="F35" s="14" t="s">
        <v>132</v>
      </c>
    </row>
    <row r="36" customHeight="1" spans="1:6">
      <c r="A36" s="15">
        <v>43009</v>
      </c>
      <c r="B36" s="16">
        <v>17.65</v>
      </c>
      <c r="C36" s="17">
        <v>30.8</v>
      </c>
      <c r="D36" s="18">
        <v>36.7</v>
      </c>
      <c r="E36" s="18">
        <v>57.8</v>
      </c>
      <c r="F36" s="19" t="s">
        <v>132</v>
      </c>
    </row>
    <row r="37" customHeight="1" spans="1:6">
      <c r="A37" s="10">
        <v>43040</v>
      </c>
      <c r="B37" s="11">
        <v>17.6</v>
      </c>
      <c r="C37" s="12">
        <v>26</v>
      </c>
      <c r="D37" s="13">
        <v>37</v>
      </c>
      <c r="E37" s="13">
        <v>62.5</v>
      </c>
      <c r="F37" s="14" t="s">
        <v>132</v>
      </c>
    </row>
    <row r="38" customHeight="1" spans="1:6">
      <c r="A38" s="15">
        <v>43070</v>
      </c>
      <c r="B38" s="16">
        <v>17.56</v>
      </c>
      <c r="C38" s="17">
        <v>21.9</v>
      </c>
      <c r="D38" s="18">
        <v>37</v>
      </c>
      <c r="E38" s="18">
        <v>64.4</v>
      </c>
      <c r="F38" s="19" t="s">
        <v>132</v>
      </c>
    </row>
    <row r="39" customHeight="1" spans="1:6">
      <c r="A39" s="10">
        <v>43101</v>
      </c>
      <c r="B39" s="11">
        <v>17.52</v>
      </c>
      <c r="C39" s="12">
        <v>17.1</v>
      </c>
      <c r="D39" s="13">
        <v>37</v>
      </c>
      <c r="E39" s="13">
        <v>69.1</v>
      </c>
      <c r="F39" s="14" t="s">
        <v>132</v>
      </c>
    </row>
    <row r="40" customHeight="1" spans="1:6">
      <c r="A40" s="15">
        <v>43132</v>
      </c>
      <c r="B40" s="16">
        <v>17.52</v>
      </c>
      <c r="C40" s="17">
        <v>14.4</v>
      </c>
      <c r="D40" s="18">
        <v>42.5</v>
      </c>
      <c r="E40" s="18">
        <v>65</v>
      </c>
      <c r="F40" s="19" t="s">
        <v>132</v>
      </c>
    </row>
    <row r="41" customHeight="1" spans="1:6">
      <c r="A41" s="10">
        <v>43160</v>
      </c>
      <c r="B41" s="11">
        <v>17.52</v>
      </c>
      <c r="C41" s="12">
        <v>13.3</v>
      </c>
      <c r="D41" s="13">
        <v>44.3</v>
      </c>
      <c r="E41" s="13">
        <v>66.8</v>
      </c>
      <c r="F41" s="14" t="s">
        <v>132</v>
      </c>
    </row>
    <row r="42" customHeight="1" spans="1:6">
      <c r="A42" s="15">
        <v>43191</v>
      </c>
      <c r="B42" s="16">
        <v>17.52</v>
      </c>
      <c r="C42" s="17">
        <v>13.1</v>
      </c>
      <c r="D42" s="18">
        <v>44.1</v>
      </c>
      <c r="E42" s="18">
        <v>72.1</v>
      </c>
      <c r="F42" s="19" t="s">
        <v>132</v>
      </c>
    </row>
    <row r="43" customHeight="1" spans="1:6">
      <c r="A43" s="10">
        <v>43221</v>
      </c>
      <c r="B43" s="11">
        <v>17.85</v>
      </c>
      <c r="C43" s="12">
        <v>12.1</v>
      </c>
      <c r="D43" s="13">
        <v>44.2</v>
      </c>
      <c r="E43" s="13">
        <v>76.6</v>
      </c>
      <c r="F43" s="14" t="s">
        <v>132</v>
      </c>
    </row>
    <row r="44" customHeight="1" spans="1:6">
      <c r="A44" s="15">
        <v>43252</v>
      </c>
      <c r="B44" s="16">
        <v>17.87</v>
      </c>
      <c r="C44" s="17">
        <v>14.4</v>
      </c>
      <c r="D44" s="18">
        <v>44.4</v>
      </c>
      <c r="E44" s="18">
        <v>74.4</v>
      </c>
      <c r="F44" s="19" t="s">
        <v>132</v>
      </c>
    </row>
    <row r="45" customHeight="1" spans="1:6">
      <c r="A45" s="10">
        <v>43282</v>
      </c>
      <c r="B45" s="11">
        <v>17.87</v>
      </c>
      <c r="C45" s="12">
        <v>14</v>
      </c>
      <c r="D45" s="13">
        <v>44.4</v>
      </c>
      <c r="E45" s="13">
        <v>74.2</v>
      </c>
      <c r="F45" s="14" t="s">
        <v>132</v>
      </c>
    </row>
    <row r="46" customHeight="1" spans="1:6">
      <c r="A46" s="15">
        <v>43313</v>
      </c>
      <c r="B46" s="16">
        <v>17.92</v>
      </c>
      <c r="C46" s="17">
        <v>13.5</v>
      </c>
      <c r="D46" s="18">
        <v>44.4</v>
      </c>
      <c r="E46" s="18">
        <v>72.5</v>
      </c>
      <c r="F46" s="19" t="s">
        <v>132</v>
      </c>
    </row>
    <row r="47" customHeight="1" spans="1:6">
      <c r="A47" s="10">
        <v>43344</v>
      </c>
      <c r="B47" s="11">
        <v>17.92</v>
      </c>
      <c r="C47" s="12">
        <v>16</v>
      </c>
      <c r="D47" s="13">
        <v>44.4</v>
      </c>
      <c r="E47" s="13">
        <v>78.9</v>
      </c>
      <c r="F47" s="14" t="s">
        <v>132</v>
      </c>
    </row>
    <row r="48" customHeight="1" spans="1:6">
      <c r="A48" s="15">
        <v>43374</v>
      </c>
      <c r="B48" s="16">
        <v>17.92</v>
      </c>
      <c r="C48" s="17">
        <v>17.7</v>
      </c>
      <c r="D48" s="18">
        <v>44.5</v>
      </c>
      <c r="E48" s="18">
        <v>81</v>
      </c>
      <c r="F48" s="19" t="s">
        <v>132</v>
      </c>
    </row>
    <row r="49" customHeight="1" spans="1:6">
      <c r="A49" s="10">
        <v>43405</v>
      </c>
      <c r="B49" s="11">
        <v>17.89</v>
      </c>
      <c r="C49" s="12">
        <v>18</v>
      </c>
      <c r="D49" s="13">
        <v>44.5</v>
      </c>
      <c r="E49" s="13">
        <v>65.1</v>
      </c>
      <c r="F49" s="14" t="s">
        <v>132</v>
      </c>
    </row>
    <row r="50" customHeight="1" spans="1:6">
      <c r="A50" s="15">
        <v>43435</v>
      </c>
      <c r="B50" s="16">
        <v>17.87</v>
      </c>
      <c r="C50" s="17">
        <v>12</v>
      </c>
      <c r="D50" s="18">
        <v>44.6</v>
      </c>
      <c r="E50" s="18">
        <v>57.3</v>
      </c>
      <c r="F50" s="19" t="s">
        <v>132</v>
      </c>
    </row>
    <row r="51" customHeight="1" spans="1:6">
      <c r="A51" s="10">
        <v>43466</v>
      </c>
      <c r="B51" s="11">
        <v>17.85</v>
      </c>
      <c r="C51" s="12">
        <v>12</v>
      </c>
      <c r="D51" s="13">
        <v>42.6</v>
      </c>
      <c r="E51" s="13">
        <v>59.4</v>
      </c>
      <c r="F51" s="14" t="s">
        <v>132</v>
      </c>
    </row>
    <row r="52" customHeight="1" spans="1:6">
      <c r="A52" s="15">
        <v>43497</v>
      </c>
      <c r="B52" s="16">
        <v>17.82</v>
      </c>
      <c r="C52" s="17">
        <v>14.4</v>
      </c>
      <c r="D52" s="18">
        <v>42.2</v>
      </c>
      <c r="E52" s="18">
        <v>64.3</v>
      </c>
      <c r="F52" s="19" t="s">
        <v>132</v>
      </c>
    </row>
    <row r="53" customHeight="1" spans="1:6">
      <c r="A53" s="10">
        <v>43525</v>
      </c>
      <c r="B53" s="11">
        <v>17.48</v>
      </c>
      <c r="C53" s="12">
        <v>14.2</v>
      </c>
      <c r="D53" s="13">
        <v>43.9</v>
      </c>
      <c r="E53" s="13">
        <v>67.2</v>
      </c>
      <c r="F53" s="14" t="s">
        <v>132</v>
      </c>
    </row>
    <row r="54" customHeight="1" spans="1:6">
      <c r="A54" s="15">
        <v>43556</v>
      </c>
      <c r="B54" s="16">
        <v>17.25</v>
      </c>
      <c r="C54" s="17">
        <v>13</v>
      </c>
      <c r="D54" s="18">
        <v>43</v>
      </c>
      <c r="E54" s="18">
        <v>71.2</v>
      </c>
      <c r="F54" s="19" t="s">
        <v>132</v>
      </c>
    </row>
    <row r="55" customHeight="1" spans="1:6">
      <c r="A55" s="10">
        <v>43586</v>
      </c>
      <c r="B55" s="11">
        <v>17.1</v>
      </c>
      <c r="C55" s="12">
        <v>8.1</v>
      </c>
      <c r="D55" s="13">
        <v>44.1</v>
      </c>
      <c r="E55" s="13">
        <v>70.7</v>
      </c>
      <c r="F55" s="14" t="s">
        <v>132</v>
      </c>
    </row>
    <row r="56" customHeight="1" spans="1:6">
      <c r="A56" s="15">
        <v>43617</v>
      </c>
      <c r="B56" s="16">
        <v>16.97</v>
      </c>
      <c r="C56" s="17">
        <v>9.4</v>
      </c>
      <c r="D56" s="18">
        <v>45.1</v>
      </c>
      <c r="E56" s="18">
        <v>64.4</v>
      </c>
      <c r="F56" s="19" t="s">
        <v>132</v>
      </c>
    </row>
    <row r="57" customHeight="1" spans="1:6">
      <c r="A57" s="10">
        <v>43647</v>
      </c>
      <c r="B57" s="11">
        <v>16.87</v>
      </c>
      <c r="C57" s="12">
        <v>8.7</v>
      </c>
      <c r="D57" s="13">
        <v>45.1</v>
      </c>
      <c r="E57" s="13">
        <v>63.9</v>
      </c>
      <c r="F57" s="14" t="s">
        <v>132</v>
      </c>
    </row>
    <row r="58" customHeight="1" spans="1:6">
      <c r="A58" s="15">
        <v>43678</v>
      </c>
      <c r="B58" s="16">
        <v>16.77</v>
      </c>
      <c r="C58" s="17">
        <v>7.5</v>
      </c>
      <c r="D58" s="18">
        <v>45.4</v>
      </c>
      <c r="E58" s="18">
        <v>59.3</v>
      </c>
      <c r="F58" s="19" t="s">
        <v>132</v>
      </c>
    </row>
    <row r="59" customHeight="1" spans="1:6">
      <c r="A59" s="10">
        <v>43709</v>
      </c>
      <c r="B59" s="11">
        <v>16.4</v>
      </c>
      <c r="C59" s="12">
        <v>4.8</v>
      </c>
      <c r="D59" s="13">
        <v>45.4</v>
      </c>
      <c r="E59" s="13">
        <v>62.3</v>
      </c>
      <c r="F59" s="14" t="s">
        <v>132</v>
      </c>
    </row>
    <row r="60" customHeight="1" spans="1:6">
      <c r="A60" s="15">
        <v>43739</v>
      </c>
      <c r="B60" s="16">
        <v>16.35</v>
      </c>
      <c r="C60" s="17">
        <v>3.1</v>
      </c>
      <c r="D60" s="18">
        <v>45.4</v>
      </c>
      <c r="E60" s="18">
        <v>59.7</v>
      </c>
      <c r="F60" s="19" t="s">
        <v>132</v>
      </c>
    </row>
    <row r="61" customHeight="1" spans="1:6">
      <c r="A61" s="10">
        <v>43770</v>
      </c>
      <c r="B61" s="11">
        <v>16.22</v>
      </c>
      <c r="C61" s="12">
        <v>3.6</v>
      </c>
      <c r="D61" s="13">
        <v>45.4</v>
      </c>
      <c r="E61" s="13">
        <v>63.2</v>
      </c>
      <c r="F61" s="14" t="s">
        <v>132</v>
      </c>
    </row>
    <row r="62" customHeight="1" spans="1:6">
      <c r="A62" s="15">
        <v>43800</v>
      </c>
      <c r="B62" s="16">
        <v>16.1</v>
      </c>
      <c r="C62" s="17">
        <v>7.1</v>
      </c>
      <c r="D62" s="18">
        <v>45.5</v>
      </c>
      <c r="E62" s="18">
        <v>67.3</v>
      </c>
      <c r="F62" s="19" t="s">
        <v>132</v>
      </c>
    </row>
    <row r="63" customHeight="1" spans="1:6">
      <c r="A63" s="10">
        <v>43831</v>
      </c>
      <c r="B63" s="11">
        <v>16.07</v>
      </c>
      <c r="C63" s="12">
        <v>7.2</v>
      </c>
      <c r="D63" s="13">
        <v>45.5</v>
      </c>
      <c r="E63" s="13">
        <v>63.7</v>
      </c>
      <c r="F63" s="14" t="s">
        <v>132</v>
      </c>
    </row>
    <row r="64" customHeight="1" spans="1:6">
      <c r="A64" s="15">
        <v>43862</v>
      </c>
      <c r="B64" s="16">
        <v>15.73</v>
      </c>
      <c r="C64" s="17">
        <v>5.3</v>
      </c>
      <c r="D64" s="18">
        <v>45.5</v>
      </c>
      <c r="E64" s="18">
        <v>55.7</v>
      </c>
      <c r="F64" s="19" t="s">
        <v>132</v>
      </c>
    </row>
    <row r="65" customHeight="1" spans="1:6">
      <c r="A65" s="10">
        <v>43891</v>
      </c>
      <c r="B65" s="11">
        <v>15.73</v>
      </c>
      <c r="C65" s="12">
        <v>5.1</v>
      </c>
      <c r="D65" s="13">
        <v>40.1</v>
      </c>
      <c r="E65" s="13">
        <v>32</v>
      </c>
      <c r="F65" s="14" t="s">
        <v>132</v>
      </c>
    </row>
    <row r="66" customHeight="1" spans="1:6">
      <c r="A66" s="15">
        <v>43922</v>
      </c>
      <c r="B66" s="16">
        <v>16</v>
      </c>
      <c r="C66" s="17">
        <v>5.9</v>
      </c>
      <c r="D66" s="18">
        <v>37</v>
      </c>
      <c r="E66" s="18">
        <v>18.4</v>
      </c>
      <c r="F66" s="19" t="s">
        <v>132</v>
      </c>
    </row>
    <row r="67" customHeight="1" spans="1:6">
      <c r="A67" s="10">
        <v>43952</v>
      </c>
      <c r="B67" s="11">
        <v>16.04</v>
      </c>
      <c r="C67" s="12">
        <v>4.7</v>
      </c>
      <c r="D67" s="13">
        <v>38.2</v>
      </c>
      <c r="E67" s="13">
        <v>30.4</v>
      </c>
      <c r="F67" s="14" t="s">
        <v>132</v>
      </c>
    </row>
    <row r="68" customHeight="1" spans="1:6">
      <c r="A68" s="15">
        <v>43983</v>
      </c>
      <c r="B68" s="16">
        <v>16.08</v>
      </c>
      <c r="C68" s="17">
        <v>5.6</v>
      </c>
      <c r="D68" s="18">
        <v>38.2</v>
      </c>
      <c r="E68" s="18">
        <v>40.8</v>
      </c>
      <c r="F68" s="19" t="s">
        <v>132</v>
      </c>
    </row>
    <row r="69" customHeight="1" spans="1:6">
      <c r="A69" s="10">
        <v>44013</v>
      </c>
      <c r="B69" s="11">
        <v>16.14</v>
      </c>
      <c r="C69" s="12">
        <v>4.2</v>
      </c>
      <c r="D69" s="13">
        <v>38.4</v>
      </c>
      <c r="E69" s="13">
        <v>43.3</v>
      </c>
      <c r="F69" s="14" t="s">
        <v>132</v>
      </c>
    </row>
    <row r="70" customHeight="1" spans="1:6">
      <c r="A70" s="15">
        <v>44044</v>
      </c>
      <c r="B70" s="16">
        <v>16.17</v>
      </c>
      <c r="C70" s="17">
        <v>3.4</v>
      </c>
      <c r="D70" s="18">
        <v>38.5</v>
      </c>
      <c r="E70" s="18">
        <v>44.4</v>
      </c>
      <c r="F70" s="19" t="s">
        <v>132</v>
      </c>
    </row>
    <row r="71" customHeight="1" spans="1:6">
      <c r="A71" s="10">
        <v>44075</v>
      </c>
      <c r="B71" s="11">
        <v>16.19</v>
      </c>
      <c r="C71" s="12">
        <v>3.7</v>
      </c>
      <c r="D71" s="13">
        <v>38.5</v>
      </c>
      <c r="E71" s="13">
        <v>41</v>
      </c>
      <c r="F71" s="14" t="s">
        <v>132</v>
      </c>
    </row>
    <row r="72" customHeight="1" spans="1:6">
      <c r="A72" s="15">
        <v>44105</v>
      </c>
      <c r="B72" s="16">
        <v>16.19</v>
      </c>
      <c r="C72" s="17">
        <v>4.5</v>
      </c>
      <c r="D72" s="18">
        <v>39.2</v>
      </c>
      <c r="E72" s="18">
        <v>40</v>
      </c>
      <c r="F72" s="19" t="s">
        <v>132</v>
      </c>
    </row>
    <row r="73" customHeight="1" spans="1:6">
      <c r="A73" s="10">
        <v>44136</v>
      </c>
      <c r="B73" s="11">
        <v>15.75</v>
      </c>
      <c r="C73" s="12">
        <v>5.7</v>
      </c>
      <c r="D73" s="13">
        <v>39.3</v>
      </c>
      <c r="E73" s="13">
        <v>42.5</v>
      </c>
      <c r="F73" s="14" t="s">
        <v>132</v>
      </c>
    </row>
    <row r="74" customHeight="1" spans="1:6">
      <c r="A74" s="15">
        <v>44166</v>
      </c>
      <c r="B74" s="16">
        <v>15.69</v>
      </c>
      <c r="C74" s="17">
        <v>5.4</v>
      </c>
      <c r="D74" s="18">
        <v>40.1</v>
      </c>
      <c r="E74" s="18">
        <v>50.2</v>
      </c>
      <c r="F74" s="19" t="s">
        <v>132</v>
      </c>
    </row>
    <row r="75" customHeight="1" spans="1:6">
      <c r="A75" s="10">
        <v>44197</v>
      </c>
      <c r="B75" s="11">
        <v>15.63</v>
      </c>
      <c r="C75" s="12">
        <v>4.5</v>
      </c>
      <c r="D75" s="13">
        <v>40.1</v>
      </c>
      <c r="E75" s="13">
        <v>55</v>
      </c>
      <c r="F75" s="14" t="s">
        <v>132</v>
      </c>
    </row>
    <row r="76" customHeight="1" spans="1:6">
      <c r="A76" s="15">
        <v>44228</v>
      </c>
      <c r="B76" s="16">
        <v>15.62</v>
      </c>
      <c r="C76" s="17">
        <v>4.5</v>
      </c>
      <c r="D76" s="18">
        <v>40.3</v>
      </c>
      <c r="E76" s="18">
        <v>60.9</v>
      </c>
      <c r="F76" s="19" t="s">
        <v>132</v>
      </c>
    </row>
    <row r="77" customHeight="1" spans="1:6">
      <c r="A77" s="10">
        <v>44256</v>
      </c>
      <c r="B77" s="11">
        <v>15.6</v>
      </c>
      <c r="C77" s="12">
        <v>4.5</v>
      </c>
      <c r="D77" s="13">
        <v>40</v>
      </c>
      <c r="E77" s="13">
        <v>61</v>
      </c>
      <c r="F77" s="14" t="s">
        <v>132</v>
      </c>
    </row>
    <row r="78" customHeight="1" spans="1:6">
      <c r="A78" s="15">
        <v>44287</v>
      </c>
      <c r="B78" s="16">
        <v>15.6</v>
      </c>
      <c r="C78" s="17">
        <v>4.1</v>
      </c>
      <c r="D78" s="18">
        <v>40</v>
      </c>
      <c r="E78" s="18">
        <v>63</v>
      </c>
      <c r="F78" s="19" t="s">
        <v>132</v>
      </c>
    </row>
    <row r="79" customHeight="1" spans="1:6">
      <c r="A79" s="10">
        <v>44317</v>
      </c>
      <c r="B79" s="11">
        <v>15.66</v>
      </c>
      <c r="C79" s="12">
        <v>4.8</v>
      </c>
      <c r="D79" s="13">
        <v>40.1</v>
      </c>
      <c r="E79" s="13">
        <v>68.5</v>
      </c>
      <c r="F79" s="14" t="s">
        <v>132</v>
      </c>
    </row>
    <row r="80" customHeight="1" spans="1:6">
      <c r="A80" s="15">
        <v>44348</v>
      </c>
      <c r="B80" s="16">
        <v>15.65</v>
      </c>
      <c r="C80" s="17">
        <v>4.9</v>
      </c>
      <c r="D80" s="18">
        <v>40.9</v>
      </c>
      <c r="E80" s="18">
        <v>73.1</v>
      </c>
      <c r="F80" s="19" t="s">
        <v>132</v>
      </c>
    </row>
    <row r="81" customHeight="1" spans="1:6">
      <c r="A81" s="10">
        <v>44378</v>
      </c>
      <c r="B81" s="11">
        <v>15.63</v>
      </c>
      <c r="C81" s="12">
        <v>5.4</v>
      </c>
      <c r="D81" s="13">
        <v>40.9</v>
      </c>
      <c r="E81" s="13">
        <v>74.5</v>
      </c>
      <c r="F81" s="14" t="s">
        <v>132</v>
      </c>
    </row>
    <row r="82" customHeight="1" spans="1:6">
      <c r="A82" s="15">
        <v>44409</v>
      </c>
      <c r="B82" s="16">
        <v>15.71</v>
      </c>
      <c r="C82" s="17">
        <v>5.7</v>
      </c>
      <c r="D82" s="18">
        <v>40.9</v>
      </c>
      <c r="E82" s="18">
        <v>70.7</v>
      </c>
      <c r="F82" s="19" t="s">
        <v>132</v>
      </c>
    </row>
    <row r="83" customHeight="1" spans="1:6">
      <c r="A83" s="10">
        <v>44440</v>
      </c>
      <c r="B83" s="11">
        <v>15.66</v>
      </c>
      <c r="C83" s="12">
        <v>6.6</v>
      </c>
      <c r="D83" s="13">
        <v>41.1</v>
      </c>
      <c r="E83" s="13">
        <v>75</v>
      </c>
      <c r="F83" s="14" t="s">
        <v>132</v>
      </c>
    </row>
    <row r="84" customHeight="1" spans="1:6">
      <c r="A84" s="15">
        <v>44470</v>
      </c>
      <c r="B84" s="16">
        <v>15.65</v>
      </c>
      <c r="C84" s="17">
        <v>6.3</v>
      </c>
      <c r="D84" s="18">
        <v>41.1</v>
      </c>
      <c r="E84" s="18">
        <v>83.5</v>
      </c>
      <c r="F84" s="19" t="s">
        <v>132</v>
      </c>
    </row>
    <row r="85" customHeight="1" spans="1:6">
      <c r="A85" s="10">
        <v>44501</v>
      </c>
      <c r="B85" s="11">
        <v>15.67</v>
      </c>
      <c r="C85" s="12">
        <v>6.2</v>
      </c>
      <c r="D85" s="13">
        <v>41.1</v>
      </c>
      <c r="E85" s="13">
        <v>79.6</v>
      </c>
      <c r="F85" s="14" t="s">
        <v>132</v>
      </c>
    </row>
    <row r="86" customHeight="1" spans="1:6">
      <c r="A86" s="15">
        <v>44531</v>
      </c>
      <c r="B86" s="16">
        <v>15.73</v>
      </c>
      <c r="C86" s="17">
        <v>5.9</v>
      </c>
      <c r="D86" s="18">
        <v>41</v>
      </c>
      <c r="E86" s="18">
        <v>73.7</v>
      </c>
      <c r="F86" s="19" t="s">
        <v>132</v>
      </c>
    </row>
    <row r="87" customHeight="1" spans="1:6">
      <c r="A87" s="10">
        <v>44562</v>
      </c>
      <c r="B87" s="11">
        <v>15.73</v>
      </c>
      <c r="C87" s="12">
        <v>7.3</v>
      </c>
      <c r="D87" s="13">
        <v>41</v>
      </c>
      <c r="E87" s="13">
        <v>83.3</v>
      </c>
      <c r="F87" s="14" t="s">
        <v>132</v>
      </c>
    </row>
    <row r="88" customHeight="1" spans="1:6">
      <c r="A88" s="15">
        <v>44593</v>
      </c>
      <c r="B88" s="16">
        <v>15.73</v>
      </c>
      <c r="C88" s="17">
        <v>8.8</v>
      </c>
      <c r="D88" s="18">
        <v>40</v>
      </c>
      <c r="E88" s="18">
        <v>97.2</v>
      </c>
      <c r="F88" s="19" t="s">
        <v>132</v>
      </c>
    </row>
    <row r="89" customHeight="1" spans="1:6">
      <c r="A89" s="10">
        <v>44621</v>
      </c>
      <c r="B89" s="11">
        <v>18.2</v>
      </c>
      <c r="C89" s="12">
        <v>10.5</v>
      </c>
      <c r="D89" s="13">
        <v>37.1</v>
      </c>
      <c r="E89" s="13">
        <v>117.3</v>
      </c>
      <c r="F89" s="14" t="s">
        <v>132</v>
      </c>
    </row>
    <row r="90" customHeight="1" spans="1:6">
      <c r="A90" s="15">
        <v>44652</v>
      </c>
      <c r="B90" s="16">
        <v>18.27</v>
      </c>
      <c r="C90" s="17">
        <v>13.1</v>
      </c>
      <c r="D90" s="18">
        <v>35.5</v>
      </c>
      <c r="E90" s="18">
        <v>104.6</v>
      </c>
      <c r="F90" s="19" t="s">
        <v>132</v>
      </c>
    </row>
    <row r="91" customHeight="1" spans="1:6">
      <c r="A91" s="10">
        <v>44682</v>
      </c>
      <c r="B91" s="11">
        <v>18.27</v>
      </c>
      <c r="C91" s="12">
        <v>13.5</v>
      </c>
      <c r="D91" s="13">
        <v>33.4</v>
      </c>
      <c r="E91" s="13">
        <v>113.3</v>
      </c>
      <c r="F91" s="14" t="s">
        <v>132</v>
      </c>
    </row>
    <row r="92" customHeight="1" spans="1:6">
      <c r="A92" s="15">
        <v>44713</v>
      </c>
      <c r="B92" s="16">
        <v>18.66</v>
      </c>
      <c r="C92" s="17">
        <v>13.2</v>
      </c>
      <c r="D92" s="18">
        <v>33.1</v>
      </c>
      <c r="E92" s="37">
        <v>122.7</v>
      </c>
      <c r="F92" s="19" t="s">
        <v>132</v>
      </c>
    </row>
    <row r="93" customHeight="1" spans="1:6">
      <c r="A93" s="10">
        <v>44743</v>
      </c>
      <c r="B93" s="11">
        <v>18.87</v>
      </c>
      <c r="C93" s="12">
        <v>13.6</v>
      </c>
      <c r="D93" s="13">
        <v>33.1</v>
      </c>
      <c r="E93" s="13">
        <v>105.1</v>
      </c>
      <c r="F93" s="14" t="s">
        <v>132</v>
      </c>
    </row>
    <row r="94" customHeight="1" spans="1:6">
      <c r="A94" s="15">
        <v>44774</v>
      </c>
      <c r="B94" s="16">
        <v>19.1</v>
      </c>
      <c r="C94" s="17">
        <v>14.6</v>
      </c>
      <c r="D94" s="18">
        <v>33.1</v>
      </c>
      <c r="E94" s="18">
        <v>99.9</v>
      </c>
      <c r="F94" s="19" t="s">
        <v>132</v>
      </c>
    </row>
    <row r="95" customHeight="1" spans="1:6">
      <c r="A95" s="10">
        <v>44805</v>
      </c>
      <c r="B95" s="11">
        <v>19.63</v>
      </c>
      <c r="C95" s="12">
        <v>15.3</v>
      </c>
      <c r="D95" s="13">
        <v>33.2</v>
      </c>
      <c r="E95" s="13">
        <v>91.7</v>
      </c>
      <c r="F95" s="14" t="s">
        <v>132</v>
      </c>
    </row>
    <row r="96" customHeight="1" spans="1:6">
      <c r="A96" s="15">
        <v>44835</v>
      </c>
      <c r="B96" s="16">
        <v>19.82</v>
      </c>
      <c r="C96" s="17">
        <v>16.2</v>
      </c>
      <c r="D96" s="18">
        <v>33.5</v>
      </c>
      <c r="E96" s="18">
        <v>93.4</v>
      </c>
      <c r="F96" s="19" t="s">
        <v>132</v>
      </c>
    </row>
    <row r="97" customHeight="1" spans="1:6">
      <c r="A97" s="10">
        <v>44866</v>
      </c>
      <c r="B97" s="11">
        <v>24.64</v>
      </c>
      <c r="C97" s="12">
        <v>18.7</v>
      </c>
      <c r="D97" s="13">
        <v>34</v>
      </c>
      <c r="E97" s="13">
        <v>88.6</v>
      </c>
      <c r="F97" s="14" t="s">
        <v>132</v>
      </c>
    </row>
    <row r="98" customHeight="1" spans="1:6">
      <c r="A98" s="15">
        <v>44896</v>
      </c>
      <c r="B98" s="16">
        <v>24.7</v>
      </c>
      <c r="C98" s="17">
        <v>21.3</v>
      </c>
      <c r="D98" s="18">
        <v>34.2</v>
      </c>
      <c r="E98" s="18">
        <v>76.1</v>
      </c>
      <c r="F98" s="19" t="s">
        <v>132</v>
      </c>
    </row>
    <row r="99" customHeight="1" spans="1:6">
      <c r="A99" s="10">
        <v>44927</v>
      </c>
      <c r="B99" s="11">
        <v>29.53</v>
      </c>
      <c r="C99" s="12">
        <v>25.8</v>
      </c>
      <c r="D99" s="13">
        <v>34</v>
      </c>
      <c r="E99" s="13">
        <v>82.2</v>
      </c>
      <c r="F99" s="14" t="s">
        <v>132</v>
      </c>
    </row>
    <row r="100" customHeight="1" spans="1:6">
      <c r="A100" s="15">
        <v>44958</v>
      </c>
      <c r="B100" s="16">
        <v>30.5</v>
      </c>
      <c r="C100" s="17">
        <v>31.9</v>
      </c>
      <c r="D100" s="18">
        <v>34.5</v>
      </c>
      <c r="E100" s="18">
        <v>83</v>
      </c>
      <c r="F100" s="19" t="s">
        <v>132</v>
      </c>
    </row>
    <row r="101" customHeight="1" spans="1:6">
      <c r="A101" s="10">
        <v>44986</v>
      </c>
      <c r="B101" s="11">
        <v>30.86</v>
      </c>
      <c r="C101" s="12">
        <v>32.7</v>
      </c>
      <c r="D101" s="13">
        <v>34.9</v>
      </c>
      <c r="E101" s="13">
        <v>79.8</v>
      </c>
      <c r="F101" s="14" t="s">
        <v>132</v>
      </c>
    </row>
    <row r="102" customHeight="1" spans="1:6">
      <c r="A102" s="15">
        <v>45017</v>
      </c>
      <c r="B102" s="16">
        <v>30.9</v>
      </c>
      <c r="C102" s="17">
        <v>30.6</v>
      </c>
      <c r="D102" s="18">
        <v>33.7</v>
      </c>
      <c r="E102" s="18">
        <v>84.8</v>
      </c>
      <c r="F102" s="19" t="s">
        <v>132</v>
      </c>
    </row>
    <row r="103" customHeight="1" spans="1:6">
      <c r="A103" s="10">
        <v>45047</v>
      </c>
      <c r="B103" s="11">
        <v>30.9</v>
      </c>
      <c r="C103" s="12">
        <v>32.7</v>
      </c>
      <c r="D103" s="13">
        <v>34.7</v>
      </c>
      <c r="E103" s="13">
        <v>75.6</v>
      </c>
      <c r="F103" s="14" t="s">
        <v>132</v>
      </c>
    </row>
    <row r="104" customHeight="1" spans="1:6">
      <c r="A104" s="15">
        <v>45078</v>
      </c>
      <c r="B104" s="16">
        <v>30.9</v>
      </c>
      <c r="C104" s="17">
        <v>36.8</v>
      </c>
      <c r="D104" s="18">
        <v>35</v>
      </c>
      <c r="E104" s="18">
        <v>74.9</v>
      </c>
      <c r="F104" s="19" t="s">
        <v>132</v>
      </c>
    </row>
    <row r="105" customHeight="1" spans="1:6">
      <c r="A105" s="10">
        <v>45108</v>
      </c>
      <c r="B105" s="11">
        <v>30.9</v>
      </c>
      <c r="C105" s="12">
        <v>38</v>
      </c>
      <c r="D105" s="13">
        <v>35</v>
      </c>
      <c r="E105" s="13">
        <v>79.6</v>
      </c>
      <c r="F105" s="14" t="s">
        <v>132</v>
      </c>
    </row>
    <row r="106" customHeight="1" spans="1:6">
      <c r="A106" s="15">
        <v>45139</v>
      </c>
      <c r="B106" s="16">
        <v>30.9</v>
      </c>
      <c r="C106" s="38">
        <v>39.7</v>
      </c>
      <c r="D106" s="18">
        <v>35</v>
      </c>
      <c r="E106" s="18">
        <v>85.5</v>
      </c>
      <c r="F106" s="19" t="s">
        <v>132</v>
      </c>
    </row>
    <row r="107" customHeight="1" spans="1:6">
      <c r="A107" s="10">
        <v>45170</v>
      </c>
      <c r="B107" s="11">
        <v>30.9</v>
      </c>
      <c r="C107" s="12">
        <v>38</v>
      </c>
      <c r="D107" s="13">
        <v>35</v>
      </c>
      <c r="E107" s="13">
        <v>93.1</v>
      </c>
      <c r="F107" s="14" t="s">
        <v>132</v>
      </c>
    </row>
    <row r="108" customHeight="1" spans="1:6">
      <c r="A108" s="15">
        <v>45200</v>
      </c>
      <c r="B108" s="16">
        <v>30.9</v>
      </c>
      <c r="C108" s="17">
        <v>35.8</v>
      </c>
      <c r="D108" s="18">
        <v>35</v>
      </c>
      <c r="E108" s="18">
        <v>91.4</v>
      </c>
      <c r="F108" s="19" t="s">
        <v>132</v>
      </c>
    </row>
    <row r="109" customHeight="1" spans="1:6">
      <c r="A109" s="10">
        <v>45231</v>
      </c>
      <c r="B109" s="11">
        <v>30.9</v>
      </c>
      <c r="C109" s="12">
        <v>34.6</v>
      </c>
      <c r="D109" s="13">
        <v>35.2</v>
      </c>
      <c r="E109" s="13">
        <v>83.3</v>
      </c>
      <c r="F109" s="14" t="s">
        <v>132</v>
      </c>
    </row>
    <row r="110" customHeight="1" spans="1:6">
      <c r="A110" s="15">
        <v>45261</v>
      </c>
      <c r="B110" s="16">
        <v>30.9</v>
      </c>
      <c r="C110" s="17">
        <v>33.9</v>
      </c>
      <c r="D110" s="18">
        <v>35.2</v>
      </c>
      <c r="E110" s="18">
        <v>77</v>
      </c>
      <c r="F110" s="19" t="s">
        <v>132</v>
      </c>
    </row>
    <row r="111" customHeight="1" spans="1:6">
      <c r="A111" s="10">
        <v>45292</v>
      </c>
      <c r="B111" s="11">
        <v>30.9</v>
      </c>
      <c r="C111" s="12">
        <v>29.8</v>
      </c>
      <c r="D111" s="13">
        <v>35.4</v>
      </c>
      <c r="E111" s="13">
        <v>78</v>
      </c>
      <c r="F111" s="14" t="s">
        <v>132</v>
      </c>
    </row>
    <row r="112" customHeight="1" spans="1:6">
      <c r="A112" s="15">
        <v>45323</v>
      </c>
      <c r="B112" s="16">
        <v>30.9</v>
      </c>
      <c r="C112" s="17">
        <v>35.7</v>
      </c>
      <c r="D112" s="18">
        <v>35.4</v>
      </c>
      <c r="E112" s="18">
        <v>81.7</v>
      </c>
      <c r="F112" s="19" t="s">
        <v>132</v>
      </c>
    </row>
    <row r="113" customHeight="1" spans="1:6">
      <c r="A113" s="10">
        <v>45352</v>
      </c>
      <c r="B113" s="39">
        <v>49.8</v>
      </c>
      <c r="C113" s="12">
        <v>33.3</v>
      </c>
      <c r="D113" s="13">
        <v>38.8</v>
      </c>
      <c r="E113" s="13">
        <v>85.5</v>
      </c>
      <c r="F113" s="14" t="s">
        <v>132</v>
      </c>
    </row>
    <row r="114" customHeight="1" spans="1:6">
      <c r="A114" s="15">
        <v>45383</v>
      </c>
      <c r="B114" s="16">
        <v>48.6</v>
      </c>
      <c r="C114" s="17">
        <v>32.5</v>
      </c>
      <c r="D114" s="18">
        <v>41.1</v>
      </c>
      <c r="E114" s="18">
        <v>89</v>
      </c>
      <c r="F114" s="19" t="s">
        <v>132</v>
      </c>
    </row>
    <row r="115" customHeight="1" spans="1:6">
      <c r="A115" s="10">
        <v>45413</v>
      </c>
      <c r="B115" s="11">
        <v>47.9</v>
      </c>
      <c r="C115" s="12">
        <v>28.1</v>
      </c>
      <c r="D115" s="13">
        <v>46.2</v>
      </c>
      <c r="E115" s="13">
        <v>83.6</v>
      </c>
      <c r="F115" s="14" t="s">
        <v>132</v>
      </c>
    </row>
    <row r="116" customHeight="1" spans="1:6">
      <c r="A116" s="15">
        <v>45444</v>
      </c>
      <c r="B116" s="16">
        <v>47.8</v>
      </c>
      <c r="C116" s="17">
        <v>27.5</v>
      </c>
      <c r="D116" s="18">
        <v>46.5</v>
      </c>
      <c r="E116" s="18">
        <v>85</v>
      </c>
      <c r="F116" s="19" t="s">
        <v>132</v>
      </c>
    </row>
    <row r="117" customHeight="1" spans="1:6">
      <c r="A117" s="10">
        <v>45474</v>
      </c>
      <c r="B117" s="11">
        <v>47.5</v>
      </c>
      <c r="C117" s="12">
        <v>25.7</v>
      </c>
      <c r="D117" s="13">
        <v>46.9</v>
      </c>
      <c r="E117" s="13">
        <v>84.5</v>
      </c>
      <c r="F117" s="14" t="s">
        <v>132</v>
      </c>
    </row>
    <row r="118" customHeight="1" spans="1:6">
      <c r="A118" s="15">
        <v>45505</v>
      </c>
      <c r="B118" s="16">
        <v>48</v>
      </c>
      <c r="C118" s="17">
        <v>26.2</v>
      </c>
      <c r="D118" s="18">
        <v>47.5</v>
      </c>
      <c r="E118" s="18">
        <v>79.7</v>
      </c>
      <c r="F118" s="19" t="s">
        <v>132</v>
      </c>
    </row>
    <row r="119" customHeight="1" spans="1:6">
      <c r="A119" s="10">
        <v>45536</v>
      </c>
      <c r="B119" s="11">
        <v>48.2</v>
      </c>
      <c r="C119" s="12">
        <v>26.4</v>
      </c>
      <c r="D119" s="13">
        <v>46.9</v>
      </c>
      <c r="E119" s="13">
        <v>73.9</v>
      </c>
      <c r="F119" s="14" t="s">
        <v>132</v>
      </c>
    </row>
    <row r="120" customHeight="1" spans="1:6">
      <c r="A120" s="15">
        <v>45566</v>
      </c>
      <c r="B120" s="16">
        <v>48.5</v>
      </c>
      <c r="C120" s="17">
        <v>27.5</v>
      </c>
      <c r="D120" s="37">
        <v>50.3</v>
      </c>
      <c r="E120" s="18">
        <v>74</v>
      </c>
      <c r="F120" s="19" t="s">
        <v>132</v>
      </c>
    </row>
    <row r="121" customHeight="1" spans="1:6">
      <c r="A121" s="10">
        <v>45597</v>
      </c>
      <c r="B121" s="11">
        <v>49.3</v>
      </c>
      <c r="C121" s="12">
        <v>25</v>
      </c>
      <c r="D121" s="13">
        <v>47.6</v>
      </c>
      <c r="E121" s="13">
        <v>73.4</v>
      </c>
      <c r="F121" s="14" t="s">
        <v>132</v>
      </c>
    </row>
    <row r="122" customHeight="1" spans="1:6">
      <c r="A122" s="22">
        <v>45627</v>
      </c>
      <c r="B122" s="23">
        <v>49.7</v>
      </c>
      <c r="C122" s="24">
        <v>24.1</v>
      </c>
      <c r="D122" s="25">
        <v>47.1</v>
      </c>
      <c r="E122" s="25">
        <v>73.6</v>
      </c>
      <c r="F122" s="26" t="s">
        <v>132</v>
      </c>
    </row>
    <row r="124" spans="1:6">
      <c r="B124" s="40">
        <f>AVERAGE(B3:B122)</f>
        <v>19.7825833333333</v>
      </c>
      <c r="C124" s="40">
        <f t="shared" ref="C124:E124" si="0">AVERAGE(C3:C122)</f>
        <v>16.3541666666667</v>
      </c>
      <c r="D124" s="40">
        <f t="shared" si="0"/>
        <v>35.1008333333333</v>
      </c>
      <c r="E124" s="40">
        <f t="shared" si="0"/>
        <v>66.0591666666667</v>
      </c>
    </row>
    <row r="125" spans="1:6">
      <c r="B125" s="40">
        <f>MAX(B3:B122)</f>
        <v>49.8</v>
      </c>
      <c r="C125" s="40">
        <f t="shared" ref="C125:E125" si="1">MAX(C3:C122)</f>
        <v>39.7</v>
      </c>
      <c r="D125" s="40">
        <f t="shared" si="1"/>
        <v>50.3</v>
      </c>
      <c r="E125" s="40">
        <f t="shared" si="1"/>
        <v>122.7</v>
      </c>
    </row>
    <row r="126" spans="1:6">
      <c r="B126" s="40">
        <f>MIN(B3:B122)</f>
        <v>7.62</v>
      </c>
      <c r="C126" s="40">
        <f t="shared" ref="C126:E126" si="2">MIN(C3:C122)</f>
        <v>3.1</v>
      </c>
      <c r="D126" s="40">
        <f t="shared" si="2"/>
        <v>14.2</v>
      </c>
      <c r="E126" s="40">
        <f t="shared" si="2"/>
        <v>18.4</v>
      </c>
    </row>
    <row r="128" spans="1:6">
      <c r="B128" s="41">
        <f>(B122-B3)/B3</f>
        <v>5.51376146788991</v>
      </c>
    </row>
  </sheetData>
  <mergeCells count="1">
    <mergeCell ref="A1:F1"/>
  </mergeCells>
  <conditionalFormatting sqref="B3:B122">
    <cfRule type="cellIs" dxfId="1" priority="1" operator="greaterThan">
      <formula>20</formula>
    </cfRule>
  </conditionalFormatting>
  <conditionalFormatting sqref="C3:C12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showGridLines="0" workbookViewId="0">
      <pane ySplit="2" topLeftCell="A3" activePane="bottomLeft" state="frozen"/>
      <selection/>
      <selection pane="bottomLeft" activeCell="B17" sqref="B17"/>
    </sheetView>
  </sheetViews>
  <sheetFormatPr defaultColWidth="8.71428571428571" defaultRowHeight="15" outlineLevelCol="3"/>
  <cols>
    <col min="1" max="1" width="12" customWidth="1"/>
    <col min="2" max="2" width="45" customWidth="1"/>
    <col min="3" max="3" width="22" customWidth="1"/>
    <col min="4" max="4" width="55" customWidth="1"/>
  </cols>
  <sheetData>
    <row r="1" ht="27.75" customHeight="1" spans="1:4">
      <c r="A1" s="1" t="s">
        <v>143</v>
      </c>
      <c r="B1" s="1"/>
      <c r="C1" s="1"/>
      <c r="D1" s="1"/>
    </row>
    <row r="2" ht="31.5" customHeight="1" spans="1:4">
      <c r="A2" s="2" t="s">
        <v>16</v>
      </c>
      <c r="B2" s="2" t="s">
        <v>17</v>
      </c>
      <c r="C2" s="2" t="s">
        <v>144</v>
      </c>
      <c r="D2" s="2" t="s">
        <v>145</v>
      </c>
    </row>
    <row r="3" ht="27.75" customHeight="1" spans="1:4">
      <c r="A3" s="3" t="s">
        <v>146</v>
      </c>
      <c r="B3" s="4" t="s">
        <v>147</v>
      </c>
      <c r="C3" s="4" t="s">
        <v>21</v>
      </c>
      <c r="D3" s="4" t="s">
        <v>148</v>
      </c>
    </row>
    <row r="4" ht="27.75" customHeight="1" spans="1:4">
      <c r="A4" s="5" t="s">
        <v>149</v>
      </c>
      <c r="B4" s="6" t="s">
        <v>150</v>
      </c>
      <c r="C4" s="6" t="s">
        <v>151</v>
      </c>
      <c r="D4" s="6" t="s">
        <v>152</v>
      </c>
    </row>
    <row r="5" ht="27.75" customHeight="1" spans="1:4">
      <c r="A5" s="3" t="s">
        <v>153</v>
      </c>
      <c r="B5" s="4" t="s">
        <v>154</v>
      </c>
      <c r="C5" s="4" t="s">
        <v>21</v>
      </c>
      <c r="D5" s="4" t="s">
        <v>155</v>
      </c>
    </row>
    <row r="6" ht="27.75" customHeight="1" spans="1:4">
      <c r="A6" s="5" t="s">
        <v>156</v>
      </c>
      <c r="B6" s="6" t="s">
        <v>157</v>
      </c>
      <c r="C6" s="6" t="s">
        <v>158</v>
      </c>
      <c r="D6" s="6" t="s">
        <v>159</v>
      </c>
    </row>
    <row r="7" ht="27.75" customHeight="1" spans="1:4">
      <c r="A7" s="3" t="s">
        <v>160</v>
      </c>
      <c r="B7" s="4" t="s">
        <v>161</v>
      </c>
      <c r="C7" s="4" t="s">
        <v>162</v>
      </c>
      <c r="D7" s="4" t="s">
        <v>163</v>
      </c>
    </row>
    <row r="8" ht="27.75" customHeight="1" spans="1:4">
      <c r="A8" s="5" t="s">
        <v>164</v>
      </c>
      <c r="B8" s="6" t="s">
        <v>165</v>
      </c>
      <c r="C8" s="6" t="s">
        <v>166</v>
      </c>
      <c r="D8" s="6" t="s">
        <v>167</v>
      </c>
    </row>
    <row r="9" ht="27.75" customHeight="1" spans="1:4">
      <c r="A9" s="3" t="s">
        <v>168</v>
      </c>
      <c r="B9" s="4" t="s">
        <v>169</v>
      </c>
      <c r="C9" s="4" t="s">
        <v>24</v>
      </c>
      <c r="D9" s="4" t="s">
        <v>170</v>
      </c>
    </row>
    <row r="10" ht="27.75" customHeight="1" spans="1:4">
      <c r="A10" s="5" t="s">
        <v>171</v>
      </c>
      <c r="B10" s="6" t="s">
        <v>172</v>
      </c>
      <c r="C10" s="6" t="s">
        <v>27</v>
      </c>
      <c r="D10" s="6" t="s">
        <v>173</v>
      </c>
    </row>
    <row r="11" ht="27.75" customHeight="1" spans="1:4">
      <c r="A11" s="3" t="s">
        <v>174</v>
      </c>
      <c r="B11" s="4" t="s">
        <v>175</v>
      </c>
      <c r="C11" s="4" t="s">
        <v>21</v>
      </c>
      <c r="D11" s="4" t="s">
        <v>176</v>
      </c>
    </row>
    <row r="12" ht="27.75" customHeight="1" spans="1:4">
      <c r="A12" s="5" t="s">
        <v>177</v>
      </c>
      <c r="B12" s="6" t="s">
        <v>178</v>
      </c>
      <c r="C12" s="6" t="s">
        <v>166</v>
      </c>
      <c r="D12" s="6" t="s">
        <v>179</v>
      </c>
    </row>
    <row r="13" ht="27.75" customHeight="1" spans="1:4">
      <c r="A13" s="3" t="s">
        <v>180</v>
      </c>
      <c r="B13" s="4" t="s">
        <v>181</v>
      </c>
      <c r="C13" s="4" t="s">
        <v>21</v>
      </c>
      <c r="D13" s="4" t="s">
        <v>182</v>
      </c>
    </row>
    <row r="14" ht="27.75" customHeight="1" spans="1:4">
      <c r="A14" s="5" t="s">
        <v>183</v>
      </c>
      <c r="B14" s="6" t="s">
        <v>184</v>
      </c>
      <c r="C14" s="6" t="s">
        <v>21</v>
      </c>
      <c r="D14" s="6" t="s">
        <v>185</v>
      </c>
    </row>
    <row r="15" ht="27.75" customHeight="1" spans="1:4">
      <c r="A15" s="3" t="s">
        <v>186</v>
      </c>
      <c r="B15" s="4" t="s">
        <v>187</v>
      </c>
      <c r="C15" s="4" t="s">
        <v>27</v>
      </c>
      <c r="D15" s="4" t="s">
        <v>188</v>
      </c>
    </row>
    <row r="16" ht="27.75" customHeight="1" spans="1:4">
      <c r="A16" s="5" t="s">
        <v>189</v>
      </c>
      <c r="B16" s="6" t="s">
        <v>190</v>
      </c>
      <c r="C16" s="6" t="s">
        <v>24</v>
      </c>
      <c r="D16" s="6" t="s">
        <v>191</v>
      </c>
    </row>
    <row r="17" ht="27.75" customHeight="1" spans="1:4">
      <c r="A17" s="3" t="s">
        <v>192</v>
      </c>
      <c r="B17" s="4" t="s">
        <v>193</v>
      </c>
      <c r="C17" s="4" t="s">
        <v>24</v>
      </c>
      <c r="D17" s="4" t="s">
        <v>194</v>
      </c>
    </row>
    <row r="18" ht="27.75" customHeight="1" spans="1:4">
      <c r="A18" s="5" t="s">
        <v>195</v>
      </c>
      <c r="B18" s="6" t="s">
        <v>196</v>
      </c>
      <c r="C18" s="6" t="s">
        <v>21</v>
      </c>
      <c r="D18" s="6" t="s">
        <v>197</v>
      </c>
    </row>
    <row r="19" ht="27.75" customHeight="1" spans="1:4">
      <c r="A19" s="3" t="s">
        <v>198</v>
      </c>
      <c r="B19" s="4" t="s">
        <v>199</v>
      </c>
      <c r="C19" s="4" t="s">
        <v>200</v>
      </c>
      <c r="D19" s="4" t="s">
        <v>201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Dashboard</vt:lpstr>
      <vt:lpstr>Suez Canal Dashboard</vt:lpstr>
      <vt:lpstr>Summary</vt:lpstr>
      <vt:lpstr>Analysis</vt:lpstr>
      <vt:lpstr>Trade Pivot</vt:lpstr>
      <vt:lpstr>README</vt:lpstr>
      <vt:lpstr>Suez_Canal</vt:lpstr>
      <vt:lpstr>Foreign_Trade</vt:lpstr>
      <vt:lpstr>Macro_Indicators</vt:lpstr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dcterms:created xsi:type="dcterms:W3CDTF">2026-06-08T20:18:00Z</dcterms:created>
  <dcterms:modified xsi:type="dcterms:W3CDTF">2026-06-23T22:22:55Z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907160F113F94FFEA31651985AF2B52B_13</vt:lpwstr>
  </property>
</Properties>
</file>